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4720" windowHeight="12200" tabRatio="753" activeTab="9"/>
  </bookViews>
  <sheets>
    <sheet name="Sheet1" sheetId="1" r:id="rId1"/>
    <sheet name="Sheet2" sheetId="2" r:id="rId2"/>
    <sheet name="筛选" sheetId="3" r:id="rId3"/>
    <sheet name="去重" sheetId="4" r:id="rId4"/>
    <sheet name="Sheet5" sheetId="5" r:id="rId5"/>
    <sheet name="abcd汇总" sheetId="6" r:id="rId6"/>
    <sheet name="产品国家" sheetId="7" r:id="rId7"/>
    <sheet name="多层透视" sheetId="8" r:id="rId8"/>
    <sheet name="多层透视 (2)" sheetId="10" r:id="rId9"/>
    <sheet name="test" sheetId="9" r:id="rId10"/>
  </sheets>
  <definedNames>
    <definedName name="材料" localSheetId="2">_xlfn.UNIQUE(筛选!XET3:XET23)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<sst xmlns="http://schemas.openxmlformats.org/spreadsheetml/2006/main" count="709" uniqueCount="85">
  <si>
    <t>序号</t>
  </si>
  <si>
    <t>材料名称</t>
  </si>
  <si>
    <t>规格型号</t>
  </si>
  <si>
    <t>单位</t>
  </si>
  <si>
    <t>数量</t>
  </si>
  <si>
    <t>单价</t>
  </si>
  <si>
    <t>金额</t>
  </si>
  <si>
    <t>数据1</t>
  </si>
  <si>
    <t>数据2</t>
  </si>
  <si>
    <t>数据3</t>
  </si>
  <si>
    <t>数据4</t>
  </si>
  <si>
    <t>经手人</t>
  </si>
  <si>
    <t>需求1</t>
  </si>
  <si>
    <t>按材料名称分组求和 求数量, 金额, 数据2, 数据3, 经手人去重列表</t>
  </si>
  <si>
    <t>水表</t>
  </si>
  <si>
    <t>DN50</t>
  </si>
  <si>
    <t>只</t>
  </si>
  <si>
    <t>猪八戒</t>
  </si>
  <si>
    <t>DN25</t>
  </si>
  <si>
    <t>个</t>
  </si>
  <si>
    <t>唐僧</t>
  </si>
  <si>
    <t>开孔器</t>
  </si>
  <si>
    <t>Φ35</t>
  </si>
  <si>
    <t>沙和尚</t>
  </si>
  <si>
    <t>绳卡</t>
  </si>
  <si>
    <t>Φ16</t>
  </si>
  <si>
    <t>16*40</t>
  </si>
  <si>
    <t>孙悟空</t>
  </si>
  <si>
    <t>盒</t>
  </si>
  <si>
    <t>普通螺栓</t>
  </si>
  <si>
    <t>16*70</t>
  </si>
  <si>
    <t>DN40</t>
  </si>
  <si>
    <t>三通</t>
  </si>
  <si>
    <t>DN20</t>
  </si>
  <si>
    <t>件</t>
  </si>
  <si>
    <t>螺栓</t>
  </si>
  <si>
    <t>16*60</t>
  </si>
  <si>
    <t>卡套油管接头</t>
  </si>
  <si>
    <t>槽钢</t>
  </si>
  <si>
    <t>800mm</t>
  </si>
  <si>
    <t>kg</t>
  </si>
  <si>
    <t>暖气片垫圈</t>
  </si>
  <si>
    <t>Φ18</t>
  </si>
  <si>
    <t>需求2</t>
  </si>
  <si>
    <t>按经手人分组求和 求金额,  对应的材料名称去重列表</t>
  </si>
  <si>
    <t>筛选出指定材料名称</t>
  </si>
  <si>
    <t>对经手人去重</t>
  </si>
  <si>
    <t>A</t>
  </si>
  <si>
    <t>B</t>
  </si>
  <si>
    <t>C</t>
  </si>
  <si>
    <t>数据表1</t>
  </si>
  <si>
    <t>查找匹配</t>
  </si>
  <si>
    <t>条件</t>
  </si>
  <si>
    <t>D</t>
  </si>
  <si>
    <t>F</t>
  </si>
  <si>
    <t>产品名称</t>
  </si>
  <si>
    <t>型号</t>
  </si>
  <si>
    <t>大号</t>
  </si>
  <si>
    <t>小号</t>
  </si>
  <si>
    <t>中号</t>
  </si>
  <si>
    <t>行总计</t>
  </si>
  <si>
    <t>ID</t>
  </si>
  <si>
    <t>产品</t>
  </si>
  <si>
    <t>国家</t>
  </si>
  <si>
    <t>价格</t>
  </si>
  <si>
    <t>年</t>
  </si>
  <si>
    <t>月</t>
  </si>
  <si>
    <t>日</t>
  </si>
  <si>
    <t>筛选条件</t>
  </si>
  <si>
    <t>f3=='国家'</t>
  </si>
  <si>
    <t>Product1</t>
  </si>
  <si>
    <t>中国</t>
  </si>
  <si>
    <t>行字段</t>
  </si>
  <si>
    <t>f2,f3</t>
  </si>
  <si>
    <t>Product2</t>
  </si>
  <si>
    <t>usa</t>
  </si>
  <si>
    <t>列字段</t>
  </si>
  <si>
    <t>f6</t>
  </si>
  <si>
    <t>英国</t>
  </si>
  <si>
    <t>求和字段</t>
  </si>
  <si>
    <t>sum('f4'),count()</t>
  </si>
  <si>
    <t>美国</t>
  </si>
  <si>
    <t>德国</t>
  </si>
  <si>
    <t>test</t>
  </si>
  <si>
    <t>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</si>
</sst>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b/>
      <sz val="12"/>
      <color theme="1"/>
      <name val="阿里巴巴普惠体 R"/>
      <charset val="134"/>
    </font>
    <font>
      <sz val="12"/>
      <color theme="1"/>
      <name val="阿里巴巴普惠体 R"/>
      <charset val="134"/>
    </font>
    <font>
      <sz val="13"/>
      <color theme="1"/>
      <name val="宋体"/>
      <charset val="134"/>
      <scheme val="minor"/>
    </font>
    <font>
      <b/>
      <sz val="13"/>
      <color theme="0" tint="-0.0499893185216834"/>
      <name val="微软雅黑"/>
      <charset val="134"/>
    </font>
    <font>
      <sz val="13"/>
      <color theme="1"/>
      <name val="微软雅黑"/>
      <charset val="134"/>
    </font>
    <font>
      <sz val="11"/>
      <color theme="1"/>
      <name val="阿里巴巴普惠体 R"/>
      <charset val="134"/>
    </font>
    <font>
      <sz val="12"/>
      <name val="阿里巴巴普惠体 R"/>
      <charset val="134"/>
    </font>
    <font>
      <b/>
      <sz val="11"/>
      <name val="阿里巴巴普惠体 R"/>
      <charset val="134"/>
    </font>
    <font>
      <sz val="11"/>
      <name val="阿里巴巴普惠体 R"/>
      <charset val="134"/>
    </font>
    <font>
      <sz val="12"/>
      <name val="微软雅黑"/>
      <charset val="134"/>
    </font>
    <font>
      <b/>
      <sz val="12"/>
      <color theme="1"/>
      <name val="微软雅黑"/>
      <charset val="134"/>
    </font>
    <font>
      <sz val="12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theme="6" tint="0.799951170384838"/>
        <bgColor indexed="64"/>
      </patternFill>
    </fill>
    <fill>
      <patternFill patternType="solid">
        <fgColor theme="8" tint="0.799951170384838"/>
        <bgColor theme="8" tint="0.799951170384838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theme="4" tint="0.799981688894314"/>
      </patternFill>
    </fill>
    <fill>
      <patternFill patternType="solid">
        <fgColor theme="9" tint="0.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theme="8"/>
      </left>
      <right style="thin">
        <color auto="1"/>
      </right>
      <top style="thin">
        <color theme="8"/>
      </top>
      <bottom style="thin">
        <color auto="1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5" borderId="11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6" borderId="14" applyNumberFormat="0" applyAlignment="0" applyProtection="0">
      <alignment vertical="center"/>
    </xf>
    <xf numFmtId="0" fontId="22" fillId="17" borderId="15" applyNumberFormat="0" applyAlignment="0" applyProtection="0">
      <alignment vertical="center"/>
    </xf>
    <xf numFmtId="0" fontId="23" fillId="17" borderId="14" applyNumberFormat="0" applyAlignment="0" applyProtection="0">
      <alignment vertical="center"/>
    </xf>
    <xf numFmtId="0" fontId="24" fillId="18" borderId="16" applyNumberFormat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2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3" borderId="2" xfId="0" applyFont="1" applyFill="1" applyBorder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5" fillId="5" borderId="7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8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49" applyFont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1" fillId="11" borderId="9" xfId="49" applyFont="1" applyFill="1" applyBorder="1" applyAlignment="1">
      <alignment horizontal="center" vertical="center"/>
    </xf>
    <xf numFmtId="0" fontId="1" fillId="11" borderId="9" xfId="49" applyFont="1" applyFill="1" applyBorder="1" applyAlignment="1">
      <alignment horizontal="center" vertical="center" wrapText="1"/>
    </xf>
    <xf numFmtId="0" fontId="1" fillId="11" borderId="10" xfId="49" applyFont="1" applyFill="1" applyBorder="1" applyAlignment="1">
      <alignment horizontal="center" vertical="center"/>
    </xf>
    <xf numFmtId="0" fontId="1" fillId="11" borderId="10" xfId="49" applyFont="1" applyFill="1" applyBorder="1" applyAlignment="1">
      <alignment horizontal="center" vertical="center" wrapText="1"/>
    </xf>
    <xf numFmtId="0" fontId="2" fillId="12" borderId="6" xfId="49" applyFont="1" applyFill="1" applyBorder="1" applyAlignment="1">
      <alignment horizontal="center"/>
    </xf>
    <xf numFmtId="0" fontId="2" fillId="12" borderId="6" xfId="49" applyFont="1" applyFill="1" applyBorder="1" applyAlignment="1">
      <alignment horizontal="center" wrapText="1"/>
    </xf>
    <xf numFmtId="0" fontId="2" fillId="0" borderId="6" xfId="49" applyFont="1" applyBorder="1" applyAlignment="1">
      <alignment horizontal="center" vertical="center" wrapText="1"/>
    </xf>
    <xf numFmtId="0" fontId="2" fillId="12" borderId="6" xfId="49" applyFont="1" applyFill="1" applyBorder="1" applyAlignment="1">
      <alignment horizontal="center" vertical="center"/>
    </xf>
    <xf numFmtId="0" fontId="2" fillId="12" borderId="6" xfId="49" applyFont="1" applyFill="1" applyBorder="1" applyAlignment="1">
      <alignment horizontal="center" vertical="center" wrapText="1"/>
    </xf>
    <xf numFmtId="0" fontId="8" fillId="9" borderId="8" xfId="0" applyFont="1" applyFill="1" applyBorder="1">
      <alignment vertical="center"/>
    </xf>
    <xf numFmtId="0" fontId="10" fillId="0" borderId="0" xfId="49" applyFont="1" applyAlignment="1">
      <alignment horizontal="center" vertical="center"/>
    </xf>
    <xf numFmtId="0" fontId="11" fillId="11" borderId="9" xfId="49" applyFont="1" applyFill="1" applyBorder="1" applyAlignment="1">
      <alignment horizontal="center" vertical="center" wrapText="1"/>
    </xf>
    <xf numFmtId="0" fontId="11" fillId="11" borderId="9" xfId="49" applyFont="1" applyFill="1" applyBorder="1" applyAlignment="1">
      <alignment horizontal="center" vertical="center"/>
    </xf>
    <xf numFmtId="0" fontId="0" fillId="13" borderId="0" xfId="0" applyFill="1">
      <alignment vertical="center"/>
    </xf>
    <xf numFmtId="0" fontId="12" fillId="12" borderId="6" xfId="49" applyFont="1" applyFill="1" applyBorder="1" applyAlignment="1">
      <alignment horizontal="center" wrapText="1"/>
    </xf>
    <xf numFmtId="0" fontId="12" fillId="12" borderId="6" xfId="49" applyFont="1" applyFill="1" applyBorder="1" applyAlignment="1">
      <alignment horizontal="center"/>
    </xf>
    <xf numFmtId="0" fontId="0" fillId="14" borderId="10" xfId="0" applyFill="1" applyBorder="1">
      <alignment vertical="center"/>
    </xf>
    <xf numFmtId="0" fontId="12" fillId="0" borderId="6" xfId="49" applyFont="1" applyBorder="1" applyAlignment="1">
      <alignment horizontal="center" vertical="center" wrapText="1"/>
    </xf>
    <xf numFmtId="0" fontId="0" fillId="0" borderId="10" xfId="0" applyBorder="1">
      <alignment vertical="center"/>
    </xf>
    <xf numFmtId="0" fontId="12" fillId="12" borderId="6" xfId="49" applyFont="1" applyFill="1" applyBorder="1" applyAlignment="1">
      <alignment horizontal="center" vertical="center" wrapText="1"/>
    </xf>
    <xf numFmtId="0" fontId="12" fillId="12" borderId="6" xfId="49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4" xfId="49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www.wps.cn/officeDocument/2018/jdeExtension" Target="JDEData.bin"/><Relationship Id="rId13" Type="http://schemas.openxmlformats.org/officeDocument/2006/relationships/sheetMetadata" Target="metadata.xml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23"/>
  <sheetViews>
    <sheetView topLeftCell="M1" workbookViewId="0">
      <selection activeCell="N4" sqref="N4"/>
    </sheetView>
  </sheetViews>
  <sheetFormatPr defaultColWidth="11.0769230769231" defaultRowHeight="25" customHeight="1"/>
  <cols>
    <col min="1" max="1" width="5.09615384615385" customWidth="1"/>
    <col min="2" max="2" width="13.5192307692308" customWidth="1"/>
    <col min="3" max="3" width="9.30769230769231" customWidth="1"/>
    <col min="4" max="4" width="5.09615384615385" customWidth="1"/>
    <col min="5" max="5" width="5.33653846153846" customWidth="1"/>
    <col min="6" max="7" width="9" customWidth="1"/>
    <col min="8" max="11" width="6.42307692307692" customWidth="1"/>
    <col min="12" max="12" width="7.20192307692308" customWidth="1"/>
    <col min="13" max="13" width="11.0769230769231" customWidth="1"/>
    <col min="14" max="14" width="15.5096153846154" customWidth="1"/>
    <col min="15" max="18" width="9.97115384615385" customWidth="1"/>
    <col min="19" max="19" width="16.0576923076923" customWidth="1"/>
    <col min="20" max="16384" width="11.0769230769231" customWidth="1"/>
  </cols>
  <sheetData>
    <row r="1" customHeight="1" spans="1:20">
      <c r="A1" s="35">
        <v>1</v>
      </c>
      <c r="B1" s="35">
        <v>2</v>
      </c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5">
        <v>10</v>
      </c>
      <c r="K1" s="35">
        <v>11</v>
      </c>
      <c r="L1" s="35">
        <v>12</v>
      </c>
    </row>
    <row r="2" customHeight="1" spans="1:20">
      <c r="A2" s="36" t="s">
        <v>0</v>
      </c>
      <c r="B2" s="37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N2" s="38" t="s">
        <v>12</v>
      </c>
      <c r="O2" s="38" t="s">
        <v>13</v>
      </c>
      <c r="P2" s="38"/>
      <c r="Q2" s="38"/>
      <c r="R2" s="38"/>
      <c r="S2" s="38"/>
      <c r="T2" s="38"/>
    </row>
    <row r="3" customHeight="1" spans="1:20">
      <c r="A3" s="39">
        <v>1</v>
      </c>
      <c r="B3" s="40" t="s">
        <v>14</v>
      </c>
      <c r="C3" s="39" t="s">
        <v>15</v>
      </c>
      <c r="D3" s="39" t="s">
        <v>16</v>
      </c>
      <c r="E3" s="39">
        <v>1</v>
      </c>
      <c r="F3" s="39">
        <v>107.69</v>
      </c>
      <c r="G3" s="39">
        <f t="shared" ref="G3:G23" si="0">E3*F3</f>
      </c>
      <c r="H3" s="39"/>
      <c r="I3" s="39">
        <v>41</v>
      </c>
      <c r="J3" s="39">
        <v>49</v>
      </c>
      <c r="K3" s="39">
        <v>10</v>
      </c>
      <c r="L3" s="39" t="s">
        <v>17</v>
      </c>
      <c r="N3" s="41" t="str" cm="1">
        <f t="array" ref="N3">jsaLambda("$$.superPivot",A2:L23,{"f2"},{""},{"sum(`f5`),sum(`f7`),sum(`f9`),sum(`f10`),qctextjoin(`f12`)","数量1求和,金额求和,数据2求和,数据3求和,经手人"})</f>
      </c>
      <c r="B4" s="42" t="s">
        <v>14</v>
      </c>
      <c r="C4" s="42" t="s">
        <v>18</v>
      </c>
      <c r="D4" s="42" t="s">
        <v>19</v>
      </c>
      <c r="E4" s="42">
        <v>16</v>
      </c>
      <c r="F4" s="42">
        <v>15</v>
      </c>
      <c r="G4" s="42">
        <f t="shared" si="0"/>
        <v>240</v>
      </c>
      <c r="H4" s="42"/>
      <c r="I4" s="42">
        <v>23</v>
      </c>
      <c r="J4" s="42">
        <v>22</v>
      </c>
      <c r="K4" s="42">
        <v>43</v>
      </c>
      <c r="L4" s="42" t="s">
        <v>20</v>
      </c>
      <c r="B5" s="45" t="s">
        <v>21</v>
      </c>
      <c r="C5" s="44" t="s">
        <v>22</v>
      </c>
      <c r="D5" s="44" t="s">
        <v>19</v>
      </c>
      <c r="E5" s="44">
        <v>2</v>
      </c>
      <c r="F5" s="44">
        <v>11.11</v>
      </c>
      <c r="G5" s="44">
        <f t="shared" si="0"/>
        <v>22.22</v>
      </c>
      <c r="H5" s="44"/>
      <c r="I5" s="44">
        <v>7</v>
      </c>
      <c r="J5" s="44">
        <v>19</v>
      </c>
      <c r="K5" s="44">
        <v>50</v>
      </c>
      <c r="L5" s="44" t="s">
        <v>23</v>
      </c>
      <c r="B6" s="42" t="s">
        <v>24</v>
      </c>
      <c r="C6" s="42" t="s">
        <v>25</v>
      </c>
      <c r="D6" s="42" t="s">
        <v>19</v>
      </c>
      <c r="E6" s="42">
        <v>16</v>
      </c>
      <c r="F6" s="42">
        <v>15</v>
      </c>
      <c r="G6" s="42">
        <f t="shared" si="0"/>
        <v>240</v>
      </c>
      <c r="H6" s="42"/>
      <c r="I6" s="42">
        <v>2</v>
      </c>
      <c r="J6" s="42">
        <v>33</v>
      </c>
      <c r="K6" s="42">
        <v>48</v>
      </c>
      <c r="L6" s="42" t="s">
        <v>17</v>
      </c>
      <c r="N6" s="43"/>
      <c r="O6" s="43"/>
      <c r="P6" s="43"/>
      <c r="Q6" s="43"/>
      <c r="R6" s="43"/>
      <c r="S6" s="43"/>
    </row>
    <row r="7" customHeight="1" spans="1:20">
      <c r="A7" s="44">
        <v>7</v>
      </c>
      <c r="B7" s="45" t="s">
        <v>24</v>
      </c>
      <c r="C7" s="44" t="s">
        <v>26</v>
      </c>
      <c r="D7" s="44" t="s">
        <v>19</v>
      </c>
      <c r="E7" s="44">
        <v>30</v>
      </c>
      <c r="F7" s="44">
        <v>4</v>
      </c>
      <c r="G7" s="44">
        <f t="shared" si="0"/>
        <v>120</v>
      </c>
      <c r="H7" s="44"/>
      <c r="I7" s="44">
        <v>44</v>
      </c>
      <c r="J7" s="44">
        <v>37</v>
      </c>
      <c r="K7" s="44">
        <v>9</v>
      </c>
      <c r="L7" s="44" t="s">
        <v>27</v>
      </c>
      <c r="N7" s="43"/>
      <c r="O7" s="43"/>
      <c r="P7" s="43"/>
      <c r="Q7" s="43"/>
      <c r="R7" s="43"/>
      <c r="S7" s="43"/>
    </row>
    <row r="8" customHeight="1" spans="1:20">
      <c r="A8" s="42">
        <v>8</v>
      </c>
      <c r="B8" s="42" t="s">
        <v>24</v>
      </c>
      <c r="C8" s="42" t="s">
        <v>26</v>
      </c>
      <c r="D8" s="42" t="s">
        <v>28</v>
      </c>
      <c r="E8" s="42">
        <v>1</v>
      </c>
      <c r="F8" s="42">
        <v>40</v>
      </c>
      <c r="G8" s="42">
        <f t="shared" si="0"/>
        <v>40</v>
      </c>
      <c r="H8" s="42"/>
      <c r="I8" s="42">
        <v>14</v>
      </c>
      <c r="J8" s="42">
        <v>48</v>
      </c>
      <c r="K8" s="42">
        <v>50</v>
      </c>
      <c r="L8" s="42" t="s">
        <v>17</v>
      </c>
      <c r="N8" s="43"/>
      <c r="O8" s="43"/>
      <c r="P8" s="43"/>
      <c r="Q8" s="43"/>
      <c r="R8" s="43"/>
      <c r="S8" s="43"/>
    </row>
    <row r="9" customHeight="1" spans="1:20">
      <c r="A9" s="44">
        <v>9</v>
      </c>
      <c r="B9" s="45" t="s">
        <v>29</v>
      </c>
      <c r="C9" s="44" t="s">
        <v>30</v>
      </c>
      <c r="D9" s="44" t="s">
        <v>19</v>
      </c>
      <c r="E9" s="44">
        <v>12</v>
      </c>
      <c r="F9" s="44">
        <v>0.94</v>
      </c>
      <c r="G9" s="44">
        <f t="shared" si="0"/>
        <v>11.28</v>
      </c>
      <c r="H9" s="44"/>
      <c r="I9" s="44">
        <v>28</v>
      </c>
      <c r="J9" s="44">
        <v>26</v>
      </c>
      <c r="K9" s="44">
        <v>35</v>
      </c>
      <c r="L9" s="44" t="s">
        <v>27</v>
      </c>
      <c r="N9" s="43"/>
      <c r="O9" s="43"/>
      <c r="P9" s="43"/>
      <c r="Q9" s="43"/>
      <c r="R9" s="43"/>
      <c r="S9" s="43"/>
    </row>
    <row r="10" customHeight="1" spans="1:20">
      <c r="A10" s="42">
        <v>11</v>
      </c>
      <c r="B10" s="42" t="s">
        <v>29</v>
      </c>
      <c r="C10" s="42" t="s">
        <v>31</v>
      </c>
      <c r="D10" s="42" t="s">
        <v>19</v>
      </c>
      <c r="E10" s="42">
        <v>3</v>
      </c>
      <c r="F10" s="42">
        <v>0.01</v>
      </c>
      <c r="G10" s="42">
        <f t="shared" si="0"/>
        <v>0.03</v>
      </c>
      <c r="H10" s="42"/>
      <c r="I10" s="42">
        <v>17</v>
      </c>
      <c r="J10" s="42">
        <v>35</v>
      </c>
      <c r="K10" s="42">
        <v>38</v>
      </c>
      <c r="L10" s="42" t="s">
        <v>23</v>
      </c>
      <c r="N10" s="43"/>
      <c r="O10" s="43"/>
      <c r="P10" s="43"/>
      <c r="Q10" s="43"/>
      <c r="R10" s="43"/>
      <c r="S10" s="43"/>
    </row>
    <row r="11" customHeight="1" spans="1:20">
      <c r="A11" s="44">
        <v>12</v>
      </c>
      <c r="B11" s="45" t="s">
        <v>32</v>
      </c>
      <c r="C11" s="44" t="s">
        <v>33</v>
      </c>
      <c r="D11" s="44" t="s">
        <v>34</v>
      </c>
      <c r="E11" s="44">
        <v>1</v>
      </c>
      <c r="F11" s="44">
        <v>5</v>
      </c>
      <c r="G11" s="44">
        <f t="shared" si="0"/>
        <v>5</v>
      </c>
      <c r="H11" s="44"/>
      <c r="I11" s="44">
        <v>7</v>
      </c>
      <c r="J11" s="44">
        <v>27</v>
      </c>
      <c r="K11" s="44">
        <v>18</v>
      </c>
      <c r="L11" s="44" t="s">
        <v>27</v>
      </c>
      <c r="N11" s="43"/>
      <c r="O11" s="43"/>
      <c r="P11" s="43"/>
      <c r="Q11" s="43"/>
      <c r="R11" s="43"/>
      <c r="S11" s="43"/>
    </row>
    <row r="12" customHeight="1" spans="1:20">
      <c r="A12" s="42">
        <v>13</v>
      </c>
      <c r="B12" s="42" t="s">
        <v>35</v>
      </c>
      <c r="C12" s="42" t="s">
        <v>36</v>
      </c>
      <c r="D12" s="42" t="s">
        <v>19</v>
      </c>
      <c r="E12" s="42">
        <v>300</v>
      </c>
      <c r="F12" s="42">
        <v>0.53</v>
      </c>
      <c r="G12" s="42">
        <f t="shared" si="0"/>
        <v>159</v>
      </c>
      <c r="H12" s="42"/>
      <c r="I12" s="42">
        <v>34</v>
      </c>
      <c r="J12" s="42">
        <v>43</v>
      </c>
      <c r="K12" s="42">
        <v>9</v>
      </c>
      <c r="L12" s="42" t="s">
        <v>20</v>
      </c>
      <c r="N12" s="43"/>
      <c r="O12" s="43"/>
      <c r="P12" s="43"/>
      <c r="Q12" s="43"/>
      <c r="R12" s="43"/>
      <c r="S12" s="43"/>
    </row>
    <row r="13" customHeight="1" spans="1:20">
      <c r="A13" s="44">
        <v>15</v>
      </c>
      <c r="B13" s="45" t="s">
        <v>14</v>
      </c>
      <c r="C13" s="44" t="s">
        <v>15</v>
      </c>
      <c r="D13" s="44" t="s">
        <v>16</v>
      </c>
      <c r="E13" s="44">
        <v>1</v>
      </c>
      <c r="F13" s="44">
        <v>107.69</v>
      </c>
      <c r="G13" s="44">
        <f t="shared" si="0"/>
        <v>107.69</v>
      </c>
      <c r="H13" s="44"/>
      <c r="I13" s="44">
        <v>50</v>
      </c>
      <c r="J13" s="44">
        <v>50</v>
      </c>
      <c r="K13" s="44">
        <v>8</v>
      </c>
      <c r="L13" s="44" t="s">
        <v>17</v>
      </c>
    </row>
    <row r="14" customHeight="1" spans="1:20">
      <c r="A14" s="42">
        <v>16</v>
      </c>
      <c r="B14" s="42" t="s">
        <v>37</v>
      </c>
      <c r="C14" s="42">
        <v>12</v>
      </c>
      <c r="D14" s="42" t="s">
        <v>19</v>
      </c>
      <c r="E14" s="42">
        <v>1</v>
      </c>
      <c r="F14" s="42">
        <v>5</v>
      </c>
      <c r="G14" s="42">
        <f t="shared" si="0"/>
        <v>5</v>
      </c>
      <c r="H14" s="42"/>
      <c r="I14" s="42">
        <v>18</v>
      </c>
      <c r="J14" s="42">
        <v>30</v>
      </c>
      <c r="K14" s="42">
        <v>41</v>
      </c>
      <c r="L14" s="42" t="s">
        <v>27</v>
      </c>
    </row>
    <row r="15" customHeight="1" spans="1:20">
      <c r="A15" s="44">
        <v>17</v>
      </c>
      <c r="B15" s="45" t="s">
        <v>38</v>
      </c>
      <c r="C15" s="44" t="s">
        <v>39</v>
      </c>
      <c r="D15" s="44" t="s">
        <v>40</v>
      </c>
      <c r="E15" s="44">
        <v>900</v>
      </c>
      <c r="F15" s="44">
        <v>4.96</v>
      </c>
      <c r="G15" s="44">
        <f t="shared" si="0"/>
        <v>4464</v>
      </c>
      <c r="H15" s="44"/>
      <c r="I15" s="44">
        <v>32</v>
      </c>
      <c r="J15" s="44">
        <v>7</v>
      </c>
      <c r="K15" s="44">
        <v>24</v>
      </c>
      <c r="L15" s="44" t="s">
        <v>20</v>
      </c>
    </row>
    <row r="16" customHeight="1" spans="1:20">
      <c r="A16" s="42">
        <f t="shared" ref="A16:A23" si="1">A15+1</f>
      </c>
      <c r="B16" s="42" t="s">
        <v>37</v>
      </c>
      <c r="C16" s="42">
        <v>12</v>
      </c>
      <c r="D16" s="42" t="s">
        <v>19</v>
      </c>
      <c r="E16" s="42">
        <v>30</v>
      </c>
      <c r="F16" s="42">
        <v>5</v>
      </c>
      <c r="G16" s="42">
        <f t="shared" si="0"/>
        <v>150</v>
      </c>
      <c r="H16" s="42"/>
      <c r="I16" s="42">
        <v>5</v>
      </c>
      <c r="J16" s="42">
        <v>33</v>
      </c>
      <c r="K16" s="42">
        <v>30</v>
      </c>
      <c r="L16" s="42" t="s">
        <v>20</v>
      </c>
    </row>
    <row r="17" customHeight="1" spans="1:12">
      <c r="A17" s="44">
        <f t="shared" si="1"/>
        <v>19</v>
      </c>
      <c r="B17" s="45" t="s">
        <v>29</v>
      </c>
      <c r="C17" s="44" t="s">
        <v>26</v>
      </c>
      <c r="D17" s="44" t="s">
        <v>19</v>
      </c>
      <c r="E17" s="44">
        <v>1</v>
      </c>
      <c r="F17" s="44">
        <v>0.4</v>
      </c>
      <c r="G17" s="44">
        <f t="shared" si="0"/>
        <v>0.4</v>
      </c>
      <c r="H17" s="44"/>
      <c r="I17" s="44">
        <v>20</v>
      </c>
      <c r="J17" s="44">
        <v>50</v>
      </c>
      <c r="K17" s="44">
        <v>17</v>
      </c>
      <c r="L17" s="44" t="s">
        <v>23</v>
      </c>
    </row>
    <row r="18" customHeight="1" spans="1:12">
      <c r="A18" s="42">
        <f t="shared" si="1"/>
        <v>20</v>
      </c>
      <c r="B18" s="42" t="s">
        <v>38</v>
      </c>
      <c r="C18" s="42" t="s">
        <v>39</v>
      </c>
      <c r="D18" s="42" t="s">
        <v>40</v>
      </c>
      <c r="E18" s="42">
        <v>4</v>
      </c>
      <c r="F18" s="42">
        <v>4.96</v>
      </c>
      <c r="G18" s="42">
        <f t="shared" si="0"/>
        <v>19.84</v>
      </c>
      <c r="H18" s="42"/>
      <c r="I18" s="42">
        <v>14</v>
      </c>
      <c r="J18" s="42">
        <v>28</v>
      </c>
      <c r="K18" s="42">
        <v>47</v>
      </c>
      <c r="L18" s="42" t="s">
        <v>17</v>
      </c>
    </row>
    <row r="19" customHeight="1" spans="1:12">
      <c r="A19" s="44">
        <f t="shared" si="1"/>
        <v>21</v>
      </c>
      <c r="B19" s="45" t="s">
        <v>21</v>
      </c>
      <c r="C19" s="44" t="s">
        <v>22</v>
      </c>
      <c r="D19" s="44" t="s">
        <v>19</v>
      </c>
      <c r="E19" s="44">
        <v>12</v>
      </c>
      <c r="F19" s="44">
        <v>11.11</v>
      </c>
      <c r="G19" s="44">
        <f t="shared" si="0"/>
        <v>133.32</v>
      </c>
      <c r="H19" s="44">
        <v>3</v>
      </c>
      <c r="I19" s="44">
        <v>30</v>
      </c>
      <c r="J19" s="44">
        <v>13</v>
      </c>
      <c r="K19" s="44">
        <v>44</v>
      </c>
      <c r="L19" s="44" t="s">
        <v>17</v>
      </c>
    </row>
    <row r="20" customHeight="1" spans="1:12">
      <c r="A20" s="42">
        <f t="shared" si="1"/>
        <v>22</v>
      </c>
      <c r="B20" s="42" t="s">
        <v>41</v>
      </c>
      <c r="C20" s="42" t="s">
        <v>31</v>
      </c>
      <c r="D20" s="42" t="s">
        <v>19</v>
      </c>
      <c r="E20" s="42">
        <v>16</v>
      </c>
      <c r="F20" s="42">
        <v>0.01</v>
      </c>
      <c r="G20" s="42">
        <f t="shared" si="0"/>
        <v>0.16</v>
      </c>
      <c r="H20" s="42">
        <v>36</v>
      </c>
      <c r="I20" s="42">
        <v>2</v>
      </c>
      <c r="J20" s="42">
        <v>5</v>
      </c>
      <c r="K20" s="42">
        <v>28</v>
      </c>
      <c r="L20" s="42" t="s">
        <v>27</v>
      </c>
    </row>
    <row r="21" customHeight="1" spans="1:12">
      <c r="A21" s="44">
        <f t="shared" si="1"/>
        <v>23</v>
      </c>
      <c r="B21" s="45" t="s">
        <v>24</v>
      </c>
      <c r="C21" s="44" t="s">
        <v>42</v>
      </c>
      <c r="D21" s="44" t="s">
        <v>19</v>
      </c>
      <c r="E21" s="44">
        <v>1</v>
      </c>
      <c r="F21" s="44">
        <v>15</v>
      </c>
      <c r="G21" s="44">
        <f t="shared" si="0"/>
        <v>15</v>
      </c>
      <c r="H21" s="44">
        <v>49</v>
      </c>
      <c r="I21" s="44">
        <v>3</v>
      </c>
      <c r="J21" s="44">
        <v>6</v>
      </c>
      <c r="K21" s="44">
        <v>26</v>
      </c>
      <c r="L21" s="44" t="s">
        <v>27</v>
      </c>
    </row>
    <row r="22" customHeight="1" spans="1:12">
      <c r="A22" s="42">
        <f t="shared" si="1"/>
        <v>24</v>
      </c>
      <c r="B22" s="42" t="s">
        <v>35</v>
      </c>
      <c r="C22" s="42" t="s">
        <v>36</v>
      </c>
      <c r="D22" s="42" t="s">
        <v>19</v>
      </c>
      <c r="E22" s="42">
        <v>12</v>
      </c>
      <c r="F22" s="42">
        <v>0.53</v>
      </c>
      <c r="G22" s="42">
        <f t="shared" si="0"/>
        <v>6.36</v>
      </c>
      <c r="H22" s="42">
        <v>40</v>
      </c>
      <c r="I22" s="42">
        <v>7</v>
      </c>
      <c r="J22" s="42">
        <v>15</v>
      </c>
      <c r="K22" s="42">
        <v>40</v>
      </c>
      <c r="L22" s="42" t="s">
        <v>20</v>
      </c>
    </row>
    <row r="23" customHeight="1" spans="1:12">
      <c r="A23" s="44">
        <f t="shared" si="1"/>
        <v>25</v>
      </c>
      <c r="B23" s="45" t="s">
        <v>32</v>
      </c>
      <c r="C23" s="44" t="s">
        <v>33</v>
      </c>
      <c r="D23" s="44" t="s">
        <v>34</v>
      </c>
      <c r="E23" s="44">
        <v>3</v>
      </c>
      <c r="F23" s="44">
        <v>5</v>
      </c>
      <c r="G23" s="44">
        <f t="shared" si="0"/>
        <v>15</v>
      </c>
      <c r="H23" s="44">
        <v>19</v>
      </c>
      <c r="I23" s="44">
        <v>38</v>
      </c>
      <c r="J23" s="44">
        <v>5</v>
      </c>
      <c r="K23" s="44">
        <v>43</v>
      </c>
      <c r="L23" s="44" t="s">
        <v>23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T23"/>
  <sheetViews>
    <sheetView topLeftCell="C1" workbookViewId="0">
      <selection activeCell="N4" sqref="N4"/>
    </sheetView>
  </sheetViews>
  <sheetFormatPr defaultColWidth="11.0769230769231" defaultRowHeight="25" customHeight="1"/>
  <cols>
    <col min="1" max="1" width="5.09615384615385" customWidth="1"/>
    <col min="2" max="2" width="13.5192307692308" customWidth="1"/>
    <col min="3" max="3" width="9.30769230769231" customWidth="1"/>
    <col min="4" max="4" width="5.09615384615385" customWidth="1"/>
    <col min="5" max="5" width="5.33653846153846" customWidth="1"/>
    <col min="6" max="7" width="9" customWidth="1"/>
    <col min="8" max="11" width="6.42307692307692" customWidth="1"/>
    <col min="12" max="12" width="7.20192307692308" customWidth="1"/>
    <col min="13" max="13" width="11.0769230769231" customWidth="1"/>
    <col min="14" max="14" width="15.5096153846154" customWidth="1"/>
    <col min="15" max="15" width="11.0769230769231" customWidth="1"/>
    <col min="16" max="16" width="12.1826923076923" customWidth="1"/>
    <col min="17" max="17" width="11.0769230769231" customWidth="1"/>
    <col min="18" max="18" width="13.3942307692308" customWidth="1"/>
    <col min="19" max="19" width="19.0576923076923" customWidth="1"/>
    <col min="20" max="16384" width="11.0769230769231" customWidth="1"/>
  </cols>
  <sheetData>
    <row r="1" customFormat="1" customHeight="1" spans="1:20">
      <c r="A1" s="35">
        <v>1</v>
      </c>
      <c r="B1" s="35">
        <v>2</v>
      </c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5">
        <v>10</v>
      </c>
      <c r="K1" s="35">
        <v>11</v>
      </c>
      <c r="L1" s="35">
        <v>12</v>
      </c>
    </row>
    <row r="2" customFormat="1" customHeight="1" spans="1:20">
      <c r="A2" s="36" t="s">
        <v>0</v>
      </c>
      <c r="B2" s="37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N2" s="38" t="s">
        <v>43</v>
      </c>
      <c r="O2" s="38" t="s">
        <v>44</v>
      </c>
      <c r="P2" s="38"/>
      <c r="Q2" s="38"/>
      <c r="R2" s="38"/>
      <c r="S2" s="38"/>
      <c r="T2" s="38"/>
    </row>
    <row r="3" customFormat="1" customHeight="1" spans="1:20">
      <c r="A3" s="39">
        <v>1</v>
      </c>
      <c r="B3" s="40" t="s">
        <v>14</v>
      </c>
      <c r="C3" s="39" t="s">
        <v>15</v>
      </c>
      <c r="D3" s="39" t="s">
        <v>16</v>
      </c>
      <c r="E3" s="39">
        <v>1</v>
      </c>
      <c r="F3" s="39">
        <v>107.69</v>
      </c>
      <c r="G3" s="39">
        <f t="shared" ref="G3:G23" si="0">E3*F3</f>
      </c>
      <c r="H3" s="39"/>
      <c r="I3" s="39">
        <v>41</v>
      </c>
      <c r="J3" s="39">
        <v>49</v>
      </c>
      <c r="K3" s="39">
        <v>10</v>
      </c>
      <c r="L3" s="39" t="s">
        <v>17</v>
      </c>
      <c r="N3" s="41" t="str" cm="1">
        <f t="array" ref="N3">jsaLambda("$$.superPivot",A2:L23,{"f2"},{"f12"},{"sum(`f7`)","金额求和"})</f>
      </c>
      <c r="B4" s="42" t="s">
        <v>14</v>
      </c>
      <c r="C4" s="42" t="s">
        <v>18</v>
      </c>
      <c r="D4" s="42" t="s">
        <v>19</v>
      </c>
      <c r="E4" s="42">
        <v>16</v>
      </c>
      <c r="F4" s="42">
        <v>15</v>
      </c>
      <c r="G4" s="42">
        <f t="shared" si="0"/>
        <v>240</v>
      </c>
      <c r="H4" s="42"/>
      <c r="I4" s="42">
        <v>23</v>
      </c>
      <c r="J4" s="42">
        <v>22</v>
      </c>
      <c r="K4" s="42">
        <v>43</v>
      </c>
      <c r="L4" s="42" t="s">
        <v>20</v>
      </c>
      <c r="B5" s="45" t="s">
        <v>21</v>
      </c>
      <c r="C5" s="44" t="s">
        <v>22</v>
      </c>
      <c r="D5" s="44" t="s">
        <v>19</v>
      </c>
      <c r="E5" s="44">
        <v>2</v>
      </c>
      <c r="F5" s="44">
        <v>11.11</v>
      </c>
      <c r="G5" s="44">
        <f t="shared" si="0"/>
        <v>22.22</v>
      </c>
      <c r="H5" s="44"/>
      <c r="I5" s="44">
        <v>7</v>
      </c>
      <c r="J5" s="44">
        <v>19</v>
      </c>
      <c r="K5" s="44">
        <v>50</v>
      </c>
      <c r="L5" s="44" t="s">
        <v>23</v>
      </c>
      <c r="B6" s="42" t="s">
        <v>24</v>
      </c>
      <c r="C6" s="42" t="s">
        <v>25</v>
      </c>
      <c r="D6" s="42" t="s">
        <v>19</v>
      </c>
      <c r="E6" s="42">
        <v>16</v>
      </c>
      <c r="F6" s="42">
        <v>15</v>
      </c>
      <c r="G6" s="42">
        <f t="shared" si="0"/>
        <v>240</v>
      </c>
      <c r="H6" s="42"/>
      <c r="I6" s="42">
        <v>2</v>
      </c>
      <c r="J6" s="42">
        <v>33</v>
      </c>
      <c r="K6" s="42">
        <v>48</v>
      </c>
      <c r="L6" s="42" t="s">
        <v>17</v>
      </c>
      <c r="N6" s="43"/>
      <c r="O6" s="43"/>
      <c r="P6" s="43"/>
      <c r="Q6" s="43"/>
      <c r="R6" s="43"/>
      <c r="S6" s="43"/>
    </row>
    <row r="7" customFormat="1" customHeight="1" spans="1:20">
      <c r="A7" s="44">
        <v>7</v>
      </c>
      <c r="B7" s="45" t="s">
        <v>24</v>
      </c>
      <c r="C7" s="44" t="s">
        <v>26</v>
      </c>
      <c r="D7" s="44" t="s">
        <v>19</v>
      </c>
      <c r="E7" s="44">
        <v>30</v>
      </c>
      <c r="F7" s="44">
        <v>4</v>
      </c>
      <c r="G7" s="44">
        <f t="shared" si="0"/>
        <v>120</v>
      </c>
      <c r="H7" s="44"/>
      <c r="I7" s="44">
        <v>44</v>
      </c>
      <c r="J7" s="44">
        <v>37</v>
      </c>
      <c r="K7" s="44">
        <v>9</v>
      </c>
      <c r="L7" s="44" t="s">
        <v>27</v>
      </c>
      <c r="N7" s="43"/>
      <c r="O7" s="43"/>
      <c r="P7" s="43"/>
      <c r="Q7" s="43"/>
      <c r="R7" s="43"/>
      <c r="S7" s="43"/>
    </row>
    <row r="8" customFormat="1" customHeight="1" spans="1:20">
      <c r="A8" s="42">
        <v>8</v>
      </c>
      <c r="B8" s="42" t="s">
        <v>24</v>
      </c>
      <c r="C8" s="42" t="s">
        <v>26</v>
      </c>
      <c r="D8" s="42" t="s">
        <v>28</v>
      </c>
      <c r="E8" s="42">
        <v>1</v>
      </c>
      <c r="F8" s="42">
        <v>40</v>
      </c>
      <c r="G8" s="42">
        <f t="shared" si="0"/>
        <v>40</v>
      </c>
      <c r="H8" s="42"/>
      <c r="I8" s="42">
        <v>14</v>
      </c>
      <c r="J8" s="42">
        <v>48</v>
      </c>
      <c r="K8" s="42">
        <v>50</v>
      </c>
      <c r="L8" s="42" t="s">
        <v>17</v>
      </c>
      <c r="N8" s="43"/>
      <c r="O8" s="43"/>
      <c r="P8" s="43"/>
      <c r="Q8" s="43"/>
      <c r="R8" s="43"/>
      <c r="S8" s="43"/>
    </row>
    <row r="9" customFormat="1" customHeight="1" spans="1:20">
      <c r="A9" s="44">
        <v>9</v>
      </c>
      <c r="B9" s="45" t="s">
        <v>29</v>
      </c>
      <c r="C9" s="44" t="s">
        <v>30</v>
      </c>
      <c r="D9" s="44" t="s">
        <v>19</v>
      </c>
      <c r="E9" s="44">
        <v>12</v>
      </c>
      <c r="F9" s="44">
        <v>0.94</v>
      </c>
      <c r="G9" s="44">
        <f t="shared" si="0"/>
        <v>11.28</v>
      </c>
      <c r="H9" s="44"/>
      <c r="I9" s="44">
        <v>28</v>
      </c>
      <c r="J9" s="44">
        <v>26</v>
      </c>
      <c r="K9" s="44">
        <v>35</v>
      </c>
      <c r="L9" s="44" t="s">
        <v>27</v>
      </c>
      <c r="N9" s="43"/>
      <c r="O9" s="43"/>
      <c r="P9" s="43"/>
      <c r="Q9" s="43"/>
      <c r="R9" s="43"/>
      <c r="S9" s="43"/>
    </row>
    <row r="10" customFormat="1" customHeight="1" spans="1:20">
      <c r="A10" s="42">
        <v>11</v>
      </c>
      <c r="B10" s="42" t="s">
        <v>29</v>
      </c>
      <c r="C10" s="42" t="s">
        <v>31</v>
      </c>
      <c r="D10" s="42" t="s">
        <v>19</v>
      </c>
      <c r="E10" s="42">
        <v>3</v>
      </c>
      <c r="F10" s="42">
        <v>0.01</v>
      </c>
      <c r="G10" s="42">
        <f t="shared" si="0"/>
        <v>0.03</v>
      </c>
      <c r="H10" s="42"/>
      <c r="I10" s="42">
        <v>17</v>
      </c>
      <c r="J10" s="42">
        <v>35</v>
      </c>
      <c r="K10" s="42">
        <v>38</v>
      </c>
      <c r="L10" s="42" t="s">
        <v>23</v>
      </c>
      <c r="N10" s="43"/>
      <c r="O10" s="43"/>
      <c r="P10" s="43"/>
      <c r="Q10" s="43"/>
      <c r="R10" s="43"/>
      <c r="S10" s="43"/>
    </row>
    <row r="11" customFormat="1" customHeight="1" spans="1:20">
      <c r="A11" s="44">
        <v>12</v>
      </c>
      <c r="B11" s="45" t="s">
        <v>32</v>
      </c>
      <c r="C11" s="44" t="s">
        <v>33</v>
      </c>
      <c r="D11" s="44" t="s">
        <v>34</v>
      </c>
      <c r="E11" s="44">
        <v>1</v>
      </c>
      <c r="F11" s="44">
        <v>5</v>
      </c>
      <c r="G11" s="44">
        <f t="shared" si="0"/>
        <v>5</v>
      </c>
      <c r="H11" s="44"/>
      <c r="I11" s="44">
        <v>7</v>
      </c>
      <c r="J11" s="44">
        <v>27</v>
      </c>
      <c r="K11" s="44">
        <v>18</v>
      </c>
      <c r="L11" s="44" t="s">
        <v>27</v>
      </c>
      <c r="N11" s="43"/>
      <c r="O11" s="43"/>
      <c r="P11" s="43"/>
      <c r="Q11" s="43"/>
      <c r="R11" s="43"/>
      <c r="S11" s="43"/>
    </row>
    <row r="12" customFormat="1" customHeight="1" spans="1:20">
      <c r="A12" s="42">
        <v>13</v>
      </c>
      <c r="B12" s="42" t="s">
        <v>35</v>
      </c>
      <c r="C12" s="42" t="s">
        <v>36</v>
      </c>
      <c r="D12" s="42" t="s">
        <v>19</v>
      </c>
      <c r="E12" s="42">
        <v>300</v>
      </c>
      <c r="F12" s="42">
        <v>0.53</v>
      </c>
      <c r="G12" s="42">
        <f t="shared" si="0"/>
        <v>159</v>
      </c>
      <c r="H12" s="42"/>
      <c r="I12" s="42">
        <v>34</v>
      </c>
      <c r="J12" s="42">
        <v>43</v>
      </c>
      <c r="K12" s="42">
        <v>9</v>
      </c>
      <c r="L12" s="42" t="s">
        <v>20</v>
      </c>
      <c r="N12" s="43"/>
      <c r="O12" s="43"/>
      <c r="P12" s="43"/>
      <c r="Q12" s="43"/>
      <c r="R12" s="43"/>
      <c r="S12" s="43"/>
    </row>
    <row r="13" customFormat="1" customHeight="1" spans="1:20">
      <c r="A13" s="44">
        <v>15</v>
      </c>
      <c r="B13" s="45" t="s">
        <v>14</v>
      </c>
      <c r="C13" s="44" t="s">
        <v>15</v>
      </c>
      <c r="D13" s="44" t="s">
        <v>16</v>
      </c>
      <c r="E13" s="44">
        <v>1</v>
      </c>
      <c r="F13" s="44">
        <v>107.69</v>
      </c>
      <c r="G13" s="44">
        <f t="shared" si="0"/>
        <v>107.69</v>
      </c>
      <c r="H13" s="44"/>
      <c r="I13" s="44">
        <v>50</v>
      </c>
      <c r="J13" s="44">
        <v>50</v>
      </c>
      <c r="K13" s="44">
        <v>8</v>
      </c>
      <c r="L13" s="44" t="s">
        <v>17</v>
      </c>
    </row>
    <row r="14" customFormat="1" customHeight="1" spans="1:20">
      <c r="A14" s="42">
        <v>16</v>
      </c>
      <c r="B14" s="42" t="s">
        <v>37</v>
      </c>
      <c r="C14" s="42">
        <v>12</v>
      </c>
      <c r="D14" s="42" t="s">
        <v>19</v>
      </c>
      <c r="E14" s="42">
        <v>1</v>
      </c>
      <c r="F14" s="42">
        <v>5</v>
      </c>
      <c r="G14" s="42">
        <f t="shared" si="0"/>
        <v>5</v>
      </c>
      <c r="H14" s="42"/>
      <c r="I14" s="42">
        <v>18</v>
      </c>
      <c r="J14" s="42">
        <v>30</v>
      </c>
      <c r="K14" s="42">
        <v>41</v>
      </c>
      <c r="L14" s="42" t="s">
        <v>27</v>
      </c>
    </row>
    <row r="15" customFormat="1" customHeight="1" spans="1:20">
      <c r="A15" s="44">
        <v>17</v>
      </c>
      <c r="B15" s="45" t="s">
        <v>38</v>
      </c>
      <c r="C15" s="44" t="s">
        <v>39</v>
      </c>
      <c r="D15" s="44" t="s">
        <v>40</v>
      </c>
      <c r="E15" s="44">
        <v>900</v>
      </c>
      <c r="F15" s="44">
        <v>4.96</v>
      </c>
      <c r="G15" s="44">
        <f t="shared" si="0"/>
        <v>4464</v>
      </c>
      <c r="H15" s="44"/>
      <c r="I15" s="44">
        <v>32</v>
      </c>
      <c r="J15" s="44">
        <v>7</v>
      </c>
      <c r="K15" s="44">
        <v>24</v>
      </c>
      <c r="L15" s="44" t="s">
        <v>20</v>
      </c>
    </row>
    <row r="16" customFormat="1" customHeight="1" spans="1:20">
      <c r="A16" s="42">
        <f t="shared" ref="A16:A23" si="1">A15+1</f>
      </c>
      <c r="B16" s="42" t="s">
        <v>37</v>
      </c>
      <c r="C16" s="42">
        <v>12</v>
      </c>
      <c r="D16" s="42" t="s">
        <v>19</v>
      </c>
      <c r="E16" s="42">
        <v>30</v>
      </c>
      <c r="F16" s="42">
        <v>5</v>
      </c>
      <c r="G16" s="42">
        <f t="shared" si="0"/>
        <v>150</v>
      </c>
      <c r="H16" s="42"/>
      <c r="I16" s="42">
        <v>5</v>
      </c>
      <c r="J16" s="42">
        <v>33</v>
      </c>
      <c r="K16" s="42">
        <v>30</v>
      </c>
      <c r="L16" s="42" t="s">
        <v>20</v>
      </c>
    </row>
    <row r="17" customFormat="1" customHeight="1" spans="1:12">
      <c r="A17" s="44">
        <f t="shared" si="1"/>
        <v>19</v>
      </c>
      <c r="B17" s="45" t="s">
        <v>29</v>
      </c>
      <c r="C17" s="44" t="s">
        <v>26</v>
      </c>
      <c r="D17" s="44" t="s">
        <v>19</v>
      </c>
      <c r="E17" s="44">
        <v>1</v>
      </c>
      <c r="F17" s="44">
        <v>0.4</v>
      </c>
      <c r="G17" s="44">
        <f t="shared" si="0"/>
        <v>0.4</v>
      </c>
      <c r="H17" s="44"/>
      <c r="I17" s="44">
        <v>20</v>
      </c>
      <c r="J17" s="44">
        <v>50</v>
      </c>
      <c r="K17" s="44">
        <v>17</v>
      </c>
      <c r="L17" s="44" t="s">
        <v>23</v>
      </c>
    </row>
    <row r="18" customFormat="1" customHeight="1" spans="1:12">
      <c r="A18" s="42">
        <f t="shared" si="1"/>
        <v>20</v>
      </c>
      <c r="B18" s="42" t="s">
        <v>38</v>
      </c>
      <c r="C18" s="42" t="s">
        <v>39</v>
      </c>
      <c r="D18" s="42" t="s">
        <v>40</v>
      </c>
      <c r="E18" s="42">
        <v>4</v>
      </c>
      <c r="F18" s="42">
        <v>4.96</v>
      </c>
      <c r="G18" s="42">
        <f t="shared" si="0"/>
        <v>19.84</v>
      </c>
      <c r="H18" s="42"/>
      <c r="I18" s="42">
        <v>14</v>
      </c>
      <c r="J18" s="42">
        <v>28</v>
      </c>
      <c r="K18" s="42">
        <v>47</v>
      </c>
      <c r="L18" s="42" t="s">
        <v>17</v>
      </c>
    </row>
    <row r="19" customFormat="1" customHeight="1" spans="1:12">
      <c r="A19" s="44">
        <f t="shared" si="1"/>
        <v>21</v>
      </c>
      <c r="B19" s="45" t="s">
        <v>21</v>
      </c>
      <c r="C19" s="44" t="s">
        <v>22</v>
      </c>
      <c r="D19" s="44" t="s">
        <v>19</v>
      </c>
      <c r="E19" s="44">
        <v>12</v>
      </c>
      <c r="F19" s="44">
        <v>11.11</v>
      </c>
      <c r="G19" s="44">
        <f t="shared" si="0"/>
        <v>133.32</v>
      </c>
      <c r="H19" s="44">
        <v>3</v>
      </c>
      <c r="I19" s="44">
        <v>30</v>
      </c>
      <c r="J19" s="44">
        <v>13</v>
      </c>
      <c r="K19" s="44">
        <v>44</v>
      </c>
      <c r="L19" s="44" t="s">
        <v>17</v>
      </c>
    </row>
    <row r="20" customFormat="1" customHeight="1" spans="1:12">
      <c r="A20" s="42">
        <f t="shared" si="1"/>
        <v>22</v>
      </c>
      <c r="B20" s="42" t="s">
        <v>41</v>
      </c>
      <c r="C20" s="42" t="s">
        <v>31</v>
      </c>
      <c r="D20" s="42" t="s">
        <v>19</v>
      </c>
      <c r="E20" s="42">
        <v>16</v>
      </c>
      <c r="F20" s="42">
        <v>0.01</v>
      </c>
      <c r="G20" s="42">
        <f t="shared" si="0"/>
        <v>0.16</v>
      </c>
      <c r="H20" s="42">
        <v>36</v>
      </c>
      <c r="I20" s="42">
        <v>2</v>
      </c>
      <c r="J20" s="42">
        <v>5</v>
      </c>
      <c r="K20" s="42">
        <v>28</v>
      </c>
      <c r="L20" s="42" t="s">
        <v>27</v>
      </c>
    </row>
    <row r="21" customFormat="1" customHeight="1" spans="1:12">
      <c r="A21" s="44">
        <f t="shared" si="1"/>
        <v>23</v>
      </c>
      <c r="B21" s="45" t="s">
        <v>24</v>
      </c>
      <c r="C21" s="44" t="s">
        <v>42</v>
      </c>
      <c r="D21" s="44" t="s">
        <v>19</v>
      </c>
      <c r="E21" s="44">
        <v>1</v>
      </c>
      <c r="F21" s="44">
        <v>15</v>
      </c>
      <c r="G21" s="44">
        <f t="shared" si="0"/>
        <v>15</v>
      </c>
      <c r="H21" s="44">
        <v>49</v>
      </c>
      <c r="I21" s="44">
        <v>3</v>
      </c>
      <c r="J21" s="44">
        <v>6</v>
      </c>
      <c r="K21" s="44">
        <v>26</v>
      </c>
      <c r="L21" s="44" t="s">
        <v>27</v>
      </c>
    </row>
    <row r="22" customFormat="1" customHeight="1" spans="1:12">
      <c r="A22" s="42">
        <f t="shared" si="1"/>
        <v>24</v>
      </c>
      <c r="B22" s="42" t="s">
        <v>35</v>
      </c>
      <c r="C22" s="42" t="s">
        <v>36</v>
      </c>
      <c r="D22" s="42" t="s">
        <v>19</v>
      </c>
      <c r="E22" s="42">
        <v>12</v>
      </c>
      <c r="F22" s="42">
        <v>0.53</v>
      </c>
      <c r="G22" s="42">
        <f t="shared" si="0"/>
        <v>6.36</v>
      </c>
      <c r="H22" s="42">
        <v>40</v>
      </c>
      <c r="I22" s="42">
        <v>7</v>
      </c>
      <c r="J22" s="42">
        <v>15</v>
      </c>
      <c r="K22" s="42">
        <v>40</v>
      </c>
      <c r="L22" s="42" t="s">
        <v>20</v>
      </c>
    </row>
    <row r="23" customFormat="1" customHeight="1" spans="1:12">
      <c r="A23" s="44">
        <f t="shared" si="1"/>
        <v>25</v>
      </c>
      <c r="B23" s="45" t="s">
        <v>32</v>
      </c>
      <c r="C23" s="44" t="s">
        <v>33</v>
      </c>
      <c r="D23" s="44" t="s">
        <v>34</v>
      </c>
      <c r="E23" s="44">
        <v>3</v>
      </c>
      <c r="F23" s="44">
        <v>5</v>
      </c>
      <c r="G23" s="44">
        <f t="shared" si="0"/>
        <v>15</v>
      </c>
      <c r="H23" s="44">
        <v>19</v>
      </c>
      <c r="I23" s="44">
        <v>38</v>
      </c>
      <c r="J23" s="44">
        <v>5</v>
      </c>
      <c r="K23" s="44">
        <v>43</v>
      </c>
      <c r="L23" s="44" t="s">
        <v>23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O23"/>
  <sheetViews>
    <sheetView workbookViewId="0">
      <selection activeCell="I3" sqref="I3"/>
    </sheetView>
  </sheetViews>
  <sheetFormatPr defaultColWidth="8.88461538461539" defaultRowHeight="23" customHeight="1"/>
  <cols>
    <col min="1" max="1" width="15.5096153846154" style="19" customWidth="1"/>
    <col min="2" max="2" width="10.2980769230769" style="19" customWidth="1"/>
    <col min="3" max="3" width="5.09615384615385" style="19" customWidth="1"/>
    <col min="4" max="4" width="5.33653846153846" style="19" customWidth="1"/>
    <col min="5" max="6" width="9" style="19" customWidth="1"/>
    <col min="7" max="7" width="8.75" style="19" customWidth="1"/>
    <col min="8" max="8" width="8.88461538461539" style="19"/>
    <col min="9" max="9" width="9.30769230769231" style="19" customWidth="1"/>
    <col min="10" max="10" width="12.0673076923077" style="19" customWidth="1"/>
    <col min="11" max="11" width="13.0673076923077" style="19" customWidth="1"/>
    <col min="12" max="16384" width="8.88461538461539" style="19"/>
  </cols>
  <sheetData>
    <row r="1" customHeight="1" spans="1:15">
      <c r="A1" s="22">
        <v>2</v>
      </c>
      <c r="B1" s="22">
        <v>3</v>
      </c>
      <c r="C1" s="22">
        <v>4</v>
      </c>
      <c r="D1" s="22">
        <v>5</v>
      </c>
      <c r="E1" s="22">
        <v>6</v>
      </c>
      <c r="F1" s="22">
        <v>7</v>
      </c>
      <c r="G1" s="22">
        <v>8</v>
      </c>
      <c r="I1" s="34" t="s">
        <v>45</v>
      </c>
      <c r="J1" s="34"/>
      <c r="K1" s="24" t="s">
        <v>14</v>
      </c>
    </row>
    <row r="2" customHeight="1" spans="1:15">
      <c r="A2" s="25" t="s">
        <v>1</v>
      </c>
      <c r="B2" s="26" t="s">
        <v>2</v>
      </c>
      <c r="C2" s="26" t="s">
        <v>3</v>
      </c>
      <c r="D2" s="26" t="s">
        <v>4</v>
      </c>
      <c r="E2" s="26" t="s">
        <v>5</v>
      </c>
      <c r="F2" s="26" t="s">
        <v>6</v>
      </c>
      <c r="G2" s="26" t="s">
        <v>11</v>
      </c>
      <c r="I2" s="27" t="s">
        <v>1</v>
      </c>
      <c r="J2" s="28" t="s">
        <v>2</v>
      </c>
      <c r="K2" s="28" t="s">
        <v>3</v>
      </c>
      <c r="L2" s="28" t="s">
        <v>4</v>
      </c>
      <c r="M2" s="28" t="s">
        <v>5</v>
      </c>
      <c r="N2" s="28" t="s">
        <v>6</v>
      </c>
      <c r="O2" s="28" t="s">
        <v>11</v>
      </c>
    </row>
    <row r="3" customHeight="1" spans="1:15">
      <c r="A3" s="29" t="s">
        <v>14</v>
      </c>
      <c r="B3" s="30" t="s">
        <v>15</v>
      </c>
      <c r="C3" s="30" t="s">
        <v>16</v>
      </c>
      <c r="D3" s="30">
        <v>1</v>
      </c>
      <c r="E3" s="30">
        <v>107.69</v>
      </c>
      <c r="F3" s="30">
        <f t="shared" ref="F3:F23" si="0">D3*E3</f>
      </c>
      <c r="G3" s="30" t="s">
        <v>17</v>
      </c>
      <c r="I3" s="19" t="str" cm="1">
        <f t="array" ref="I3:O5">_xlfn._xlws.FILTER(A3:G23,A3:A23=K1)</f>
      </c>
    </row>
    <row r="4" customHeight="1" spans="1:15">
      <c r="A4" s="31" t="s">
        <v>14</v>
      </c>
      <c r="B4" s="31" t="s">
        <v>18</v>
      </c>
      <c r="C4" s="31" t="s">
        <v>19</v>
      </c>
      <c r="D4" s="31">
        <v>16</v>
      </c>
      <c r="E4" s="31">
        <v>15</v>
      </c>
      <c r="F4" s="31">
        <f t="shared" si="0"/>
        <v>240</v>
      </c>
      <c r="G4" s="31" t="s">
        <v>20</v>
      </c>
    </row>
    <row r="5" customHeight="1" spans="1:15">
      <c r="A5" s="32" t="s">
        <v>21</v>
      </c>
      <c r="B5" s="33" t="s">
        <v>22</v>
      </c>
      <c r="C5" s="33" t="s">
        <v>19</v>
      </c>
      <c r="D5" s="33">
        <v>2</v>
      </c>
      <c r="E5" s="33">
        <v>11.11</v>
      </c>
      <c r="F5" s="33">
        <f t="shared" si="0"/>
        <v>22.22</v>
      </c>
      <c r="G5" s="33" t="s">
        <v>23</v>
      </c>
    </row>
    <row r="6" customHeight="1" spans="1:15">
      <c r="A6" s="31" t="s">
        <v>24</v>
      </c>
      <c r="B6" s="31" t="s">
        <v>25</v>
      </c>
      <c r="C6" s="31" t="s">
        <v>19</v>
      </c>
      <c r="D6" s="31">
        <v>16</v>
      </c>
      <c r="E6" s="31">
        <v>15</v>
      </c>
      <c r="F6" s="31">
        <f t="shared" si="0"/>
        <v>240</v>
      </c>
      <c r="G6" s="31" t="s">
        <v>17</v>
      </c>
    </row>
    <row r="7" customHeight="1" spans="1:15">
      <c r="A7" s="32" t="s">
        <v>24</v>
      </c>
      <c r="B7" s="33" t="s">
        <v>26</v>
      </c>
      <c r="C7" s="33" t="s">
        <v>19</v>
      </c>
      <c r="D7" s="33">
        <v>30</v>
      </c>
      <c r="E7" s="33">
        <v>4</v>
      </c>
      <c r="F7" s="33">
        <f t="shared" si="0"/>
        <v>120</v>
      </c>
      <c r="G7" s="33" t="s">
        <v>27</v>
      </c>
    </row>
    <row r="8" customHeight="1" spans="1:15">
      <c r="A8" s="31" t="s">
        <v>24</v>
      </c>
      <c r="B8" s="31" t="s">
        <v>26</v>
      </c>
      <c r="C8" s="31" t="s">
        <v>28</v>
      </c>
      <c r="D8" s="31">
        <v>1</v>
      </c>
      <c r="E8" s="31">
        <v>40</v>
      </c>
      <c r="F8" s="31">
        <f t="shared" si="0"/>
        <v>40</v>
      </c>
      <c r="G8" s="31" t="s">
        <v>17</v>
      </c>
    </row>
    <row r="9" customHeight="1" spans="1:15">
      <c r="A9" s="32" t="s">
        <v>29</v>
      </c>
      <c r="B9" s="33" t="s">
        <v>30</v>
      </c>
      <c r="C9" s="33" t="s">
        <v>19</v>
      </c>
      <c r="D9" s="33">
        <v>12</v>
      </c>
      <c r="E9" s="33">
        <v>0.94</v>
      </c>
      <c r="F9" s="33">
        <f t="shared" si="0"/>
        <v>11.28</v>
      </c>
      <c r="G9" s="33" t="s">
        <v>27</v>
      </c>
    </row>
    <row r="10" customHeight="1" spans="1:15">
      <c r="A10" s="31" t="s">
        <v>29</v>
      </c>
      <c r="B10" s="31" t="s">
        <v>31</v>
      </c>
      <c r="C10" s="31" t="s">
        <v>19</v>
      </c>
      <c r="D10" s="31">
        <v>3</v>
      </c>
      <c r="E10" s="31">
        <v>0.01</v>
      </c>
      <c r="F10" s="31">
        <f t="shared" si="0"/>
        <v>0.03</v>
      </c>
      <c r="G10" s="31" t="s">
        <v>23</v>
      </c>
    </row>
    <row r="11" customHeight="1" spans="1:15">
      <c r="A11" s="32" t="s">
        <v>32</v>
      </c>
      <c r="B11" s="33" t="s">
        <v>33</v>
      </c>
      <c r="C11" s="33" t="s">
        <v>34</v>
      </c>
      <c r="D11" s="33">
        <v>1</v>
      </c>
      <c r="E11" s="33">
        <v>5</v>
      </c>
      <c r="F11" s="33">
        <f t="shared" si="0"/>
        <v>5</v>
      </c>
      <c r="G11" s="33" t="s">
        <v>27</v>
      </c>
    </row>
    <row r="12" customHeight="1" spans="1:15">
      <c r="A12" s="31" t="s">
        <v>35</v>
      </c>
      <c r="B12" s="31" t="s">
        <v>36</v>
      </c>
      <c r="C12" s="31" t="s">
        <v>19</v>
      </c>
      <c r="D12" s="31">
        <v>300</v>
      </c>
      <c r="E12" s="31">
        <v>0.53</v>
      </c>
      <c r="F12" s="31">
        <f t="shared" si="0"/>
        <v>159</v>
      </c>
      <c r="G12" s="31" t="s">
        <v>20</v>
      </c>
    </row>
    <row r="13" customHeight="1" spans="1:15">
      <c r="A13" s="32" t="s">
        <v>14</v>
      </c>
      <c r="B13" s="33" t="s">
        <v>15</v>
      </c>
      <c r="C13" s="33" t="s">
        <v>16</v>
      </c>
      <c r="D13" s="33">
        <v>1</v>
      </c>
      <c r="E13" s="33">
        <v>107.69</v>
      </c>
      <c r="F13" s="33">
        <f t="shared" si="0"/>
        <v>107.69</v>
      </c>
      <c r="G13" s="33" t="s">
        <v>17</v>
      </c>
    </row>
    <row r="14" customHeight="1" spans="1:15">
      <c r="A14" s="31" t="s">
        <v>37</v>
      </c>
      <c r="B14" s="31">
        <v>12</v>
      </c>
      <c r="C14" s="31" t="s">
        <v>19</v>
      </c>
      <c r="D14" s="31">
        <v>1</v>
      </c>
      <c r="E14" s="31">
        <v>5</v>
      </c>
      <c r="F14" s="31">
        <f t="shared" si="0"/>
        <v>5</v>
      </c>
      <c r="G14" s="31" t="s">
        <v>27</v>
      </c>
    </row>
    <row r="15" customHeight="1" spans="1:15">
      <c r="A15" s="32" t="s">
        <v>38</v>
      </c>
      <c r="B15" s="33" t="s">
        <v>39</v>
      </c>
      <c r="C15" s="33" t="s">
        <v>40</v>
      </c>
      <c r="D15" s="33">
        <v>900</v>
      </c>
      <c r="E15" s="33">
        <v>4.96</v>
      </c>
      <c r="F15" s="33">
        <f t="shared" si="0"/>
        <v>4464</v>
      </c>
      <c r="G15" s="33" t="s">
        <v>20</v>
      </c>
    </row>
    <row r="16" customHeight="1" spans="1:15">
      <c r="A16" s="31" t="s">
        <v>37</v>
      </c>
      <c r="B16" s="31">
        <v>12</v>
      </c>
      <c r="C16" s="31" t="s">
        <v>19</v>
      </c>
      <c r="D16" s="31">
        <v>30</v>
      </c>
      <c r="E16" s="31">
        <v>5</v>
      </c>
      <c r="F16" s="31">
        <f t="shared" si="0"/>
        <v>150</v>
      </c>
      <c r="G16" s="31" t="s">
        <v>20</v>
      </c>
    </row>
    <row r="17" customHeight="1" spans="1:7">
      <c r="A17" s="32" t="s">
        <v>29</v>
      </c>
      <c r="B17" s="33" t="s">
        <v>26</v>
      </c>
      <c r="C17" s="33" t="s">
        <v>19</v>
      </c>
      <c r="D17" s="33">
        <v>1</v>
      </c>
      <c r="E17" s="33">
        <v>0.4</v>
      </c>
      <c r="F17" s="33">
        <f t="shared" si="0"/>
        <v>0.4</v>
      </c>
      <c r="G17" s="33" t="s">
        <v>23</v>
      </c>
    </row>
    <row r="18" customHeight="1" spans="1:7">
      <c r="A18" s="31" t="s">
        <v>38</v>
      </c>
      <c r="B18" s="31" t="s">
        <v>39</v>
      </c>
      <c r="C18" s="31" t="s">
        <v>40</v>
      </c>
      <c r="D18" s="31">
        <v>4</v>
      </c>
      <c r="E18" s="31">
        <v>4.96</v>
      </c>
      <c r="F18" s="31">
        <f t="shared" si="0"/>
        <v>19.84</v>
      </c>
      <c r="G18" s="31" t="s">
        <v>17</v>
      </c>
    </row>
    <row r="19" customHeight="1" spans="1:7">
      <c r="A19" s="32" t="s">
        <v>21</v>
      </c>
      <c r="B19" s="33" t="s">
        <v>22</v>
      </c>
      <c r="C19" s="33" t="s">
        <v>19</v>
      </c>
      <c r="D19" s="33">
        <v>12</v>
      </c>
      <c r="E19" s="33">
        <v>11.11</v>
      </c>
      <c r="F19" s="33">
        <f t="shared" si="0"/>
        <v>133.32</v>
      </c>
      <c r="G19" s="33" t="s">
        <v>17</v>
      </c>
    </row>
    <row r="20" customHeight="1" spans="1:7">
      <c r="A20" s="31" t="s">
        <v>41</v>
      </c>
      <c r="B20" s="31" t="s">
        <v>31</v>
      </c>
      <c r="C20" s="31" t="s">
        <v>19</v>
      </c>
      <c r="D20" s="31">
        <v>16</v>
      </c>
      <c r="E20" s="31">
        <v>0.01</v>
      </c>
      <c r="F20" s="31">
        <f t="shared" si="0"/>
        <v>0.16</v>
      </c>
      <c r="G20" s="31" t="s">
        <v>27</v>
      </c>
    </row>
    <row r="21" customHeight="1" spans="1:7">
      <c r="A21" s="32" t="s">
        <v>24</v>
      </c>
      <c r="B21" s="33" t="s">
        <v>42</v>
      </c>
      <c r="C21" s="33" t="s">
        <v>19</v>
      </c>
      <c r="D21" s="33">
        <v>1</v>
      </c>
      <c r="E21" s="33">
        <v>15</v>
      </c>
      <c r="F21" s="33">
        <f t="shared" si="0"/>
        <v>15</v>
      </c>
      <c r="G21" s="33" t="s">
        <v>27</v>
      </c>
    </row>
    <row r="22" customHeight="1" spans="1:7">
      <c r="A22" s="31" t="s">
        <v>35</v>
      </c>
      <c r="B22" s="31" t="s">
        <v>36</v>
      </c>
      <c r="C22" s="31" t="s">
        <v>19</v>
      </c>
      <c r="D22" s="31">
        <v>12</v>
      </c>
      <c r="E22" s="31">
        <v>0.53</v>
      </c>
      <c r="F22" s="31">
        <f t="shared" si="0"/>
        <v>6.36</v>
      </c>
      <c r="G22" s="31" t="s">
        <v>20</v>
      </c>
    </row>
    <row r="23" customHeight="1" spans="1:7">
      <c r="A23" s="32" t="s">
        <v>32</v>
      </c>
      <c r="B23" s="33" t="s">
        <v>33</v>
      </c>
      <c r="C23" s="33" t="s">
        <v>34</v>
      </c>
      <c r="D23" s="33">
        <v>3</v>
      </c>
      <c r="E23" s="33">
        <v>5</v>
      </c>
      <c r="F23" s="33">
        <f t="shared" si="0"/>
        <v>15</v>
      </c>
      <c r="G23" s="33" t="s">
        <v>23</v>
      </c>
    </row>
  </sheetData>
  <dataValidations count="1">
    <dataValidation type="list" allowBlank="1" showInputMessage="1" showErrorMessage="1" sqref="K1">
      <formula1>"水表,绳卡,槽钢"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26"/>
  <sheetViews>
    <sheetView workbookViewId="0">
      <selection activeCell="I7" sqref="I7"/>
    </sheetView>
  </sheetViews>
  <sheetFormatPr defaultColWidth="8.88461538461539" defaultRowHeight="23" customHeight="1"/>
  <cols>
    <col min="1" max="1" width="15.5096153846154" style="19" customWidth="1"/>
    <col min="2" max="2" width="10.2980769230769" style="19" customWidth="1"/>
    <col min="3" max="3" width="7.42307692307692" style="19" customWidth="1"/>
    <col min="4" max="4" width="5.33653846153846" style="19" customWidth="1"/>
    <col min="5" max="6" width="9" style="19" customWidth="1"/>
    <col min="7" max="7" width="8.75" style="19" customWidth="1"/>
    <col min="8" max="8" width="8.88461538461539" style="19"/>
    <col min="9" max="9" width="13.9519230769231" style="21" customWidth="1"/>
    <col min="10" max="10" width="12.0673076923077" style="21" customWidth="1"/>
    <col min="11" max="11" width="13.0673076923077" style="19" customWidth="1"/>
    <col min="12" max="16384" width="8.88461538461539" style="19"/>
  </cols>
  <sheetData>
    <row r="1" s="19" customFormat="1" customHeight="1" spans="1:15">
      <c r="A1" s="22">
        <v>2</v>
      </c>
      <c r="B1" s="22">
        <v>3</v>
      </c>
      <c r="C1" s="22">
        <v>4</v>
      </c>
      <c r="D1" s="22">
        <v>5</v>
      </c>
      <c r="E1" s="22">
        <v>6</v>
      </c>
      <c r="F1" s="22">
        <v>7</v>
      </c>
      <c r="G1" s="22">
        <v>8</v>
      </c>
      <c r="I1" s="23" t="s">
        <v>46</v>
      </c>
      <c r="J1" s="23"/>
      <c r="K1" s="24"/>
    </row>
    <row r="2" s="19" customFormat="1" customHeight="1" spans="1:15">
      <c r="A2" s="25" t="s">
        <v>1</v>
      </c>
      <c r="B2" s="26" t="s">
        <v>2</v>
      </c>
      <c r="C2" s="26" t="s">
        <v>3</v>
      </c>
      <c r="D2" s="26" t="s">
        <v>4</v>
      </c>
      <c r="E2" s="26" t="s">
        <v>5</v>
      </c>
      <c r="F2" s="26" t="s">
        <v>6</v>
      </c>
      <c r="G2" s="26" t="s">
        <v>11</v>
      </c>
      <c r="I2" s="27" t="s">
        <v>11</v>
      </c>
      <c r="J2" s="28"/>
      <c r="K2" s="28"/>
      <c r="L2" s="28"/>
      <c r="M2" s="28"/>
      <c r="N2" s="28"/>
      <c r="O2" s="28"/>
    </row>
    <row r="3" s="19" customFormat="1" customHeight="1" spans="1:15">
      <c r="A3" s="29" t="s">
        <v>14</v>
      </c>
      <c r="B3" s="30" t="s">
        <v>15</v>
      </c>
      <c r="C3" s="30" t="s">
        <v>16</v>
      </c>
      <c r="D3" s="30">
        <v>1</v>
      </c>
      <c r="E3" s="30">
        <v>107.69</v>
      </c>
      <c r="F3" s="30">
        <f t="shared" ref="F3:F23" si="0">D3*E3</f>
      </c>
      <c r="G3" s="30" t="s">
        <v>17</v>
      </c>
      <c r="I3" s="21" t="str">
        <f ca="1" ref="I3:I14">_xlfn.UNIQUE(INDIRECT("A3:A"&amp;COUNTA(A:A)))</f>
      </c>
      <c r="J3" s="21" t="str">
        <f ca="1" ref="J3:J14">VLOOKUP(_xlfn.ANCHORARRAY(I3),A:B,2,0)</f>
      </c>
    </row>
    <row r="4" s="19" customFormat="1" customHeight="1" spans="1:15">
      <c r="A4" s="31" t="s">
        <v>14</v>
      </c>
      <c r="B4" s="31" t="s">
        <v>18</v>
      </c>
      <c r="C4" s="31" t="s">
        <v>19</v>
      </c>
      <c r="D4" s="31">
        <v>16</v>
      </c>
      <c r="E4" s="31">
        <v>15</v>
      </c>
      <c r="F4" s="31">
        <f t="shared" si="0"/>
        <v>240</v>
      </c>
      <c r="G4" s="31" t="s">
        <v>20</v>
      </c>
      <c r="I4" s="21" t="str">
        <v>开孔器</v>
      </c>
      <c r="J4" s="21" t="str">
        <v>Φ35</v>
      </c>
    </row>
    <row r="5" s="19" customFormat="1" customHeight="1" spans="1:15">
      <c r="A5" s="32" t="s">
        <v>21</v>
      </c>
      <c r="B5" s="33" t="s">
        <v>22</v>
      </c>
      <c r="C5" s="33" t="s">
        <v>19</v>
      </c>
      <c r="D5" s="33">
        <v>2</v>
      </c>
      <c r="E5" s="33">
        <v>11.11</v>
      </c>
      <c r="F5" s="33">
        <f t="shared" si="0"/>
        <v>22.22</v>
      </c>
      <c r="G5" s="33" t="s">
        <v>23</v>
      </c>
      <c r="I5" s="21" t="str">
        <v>绳卡</v>
      </c>
      <c r="J5" s="21" t="str">
        <v>Φ16</v>
      </c>
    </row>
    <row r="6" s="19" customFormat="1" customHeight="1" spans="1:15">
      <c r="A6" s="31" t="s">
        <v>24</v>
      </c>
      <c r="B6" s="31" t="s">
        <v>25</v>
      </c>
      <c r="C6" s="31" t="s">
        <v>19</v>
      </c>
      <c r="D6" s="31">
        <v>16</v>
      </c>
      <c r="E6" s="31">
        <v>15</v>
      </c>
      <c r="F6" s="31">
        <f t="shared" si="0"/>
        <v>240</v>
      </c>
      <c r="G6" s="31" t="s">
        <v>17</v>
      </c>
      <c r="I6" s="21" t="str">
        <v>普通螺栓</v>
      </c>
      <c r="J6" s="21" t="str">
        <v>16*70</v>
      </c>
    </row>
    <row r="7" s="19" customFormat="1" customHeight="1" spans="1:15">
      <c r="A7" s="32" t="s">
        <v>24</v>
      </c>
      <c r="B7" s="33" t="s">
        <v>26</v>
      </c>
      <c r="C7" s="33" t="s">
        <v>19</v>
      </c>
      <c r="D7" s="33">
        <v>30</v>
      </c>
      <c r="E7" s="33">
        <v>4</v>
      </c>
      <c r="F7" s="33">
        <f t="shared" si="0"/>
        <v>120</v>
      </c>
      <c r="G7" s="33" t="s">
        <v>27</v>
      </c>
      <c r="I7" s="21" t="str">
        <v>三通</v>
      </c>
      <c r="J7" s="21" t="str">
        <v>DN20</v>
      </c>
    </row>
    <row r="8" s="19" customFormat="1" customHeight="1" spans="1:15">
      <c r="A8" s="31" t="s">
        <v>24</v>
      </c>
      <c r="B8" s="31" t="s">
        <v>26</v>
      </c>
      <c r="C8" s="31" t="s">
        <v>28</v>
      </c>
      <c r="D8" s="31">
        <v>1</v>
      </c>
      <c r="E8" s="31">
        <v>40</v>
      </c>
      <c r="F8" s="31">
        <f t="shared" si="0"/>
        <v>40</v>
      </c>
      <c r="G8" s="31" t="s">
        <v>17</v>
      </c>
      <c r="I8" s="21" t="str">
        <v>螺栓</v>
      </c>
      <c r="J8" s="21" t="str">
        <v>16*60</v>
      </c>
    </row>
    <row r="9" s="19" customFormat="1" customHeight="1" spans="1:15">
      <c r="A9" s="32" t="s">
        <v>29</v>
      </c>
      <c r="B9" s="33" t="s">
        <v>30</v>
      </c>
      <c r="C9" s="33" t="s">
        <v>19</v>
      </c>
      <c r="D9" s="33">
        <v>12</v>
      </c>
      <c r="E9" s="33">
        <v>0.94</v>
      </c>
      <c r="F9" s="33">
        <f t="shared" si="0"/>
        <v>11.28</v>
      </c>
      <c r="G9" s="33" t="s">
        <v>27</v>
      </c>
      <c r="I9" s="21" t="str">
        <v>卡套油管接头</v>
      </c>
      <c r="J9" s="21">
        <v>12</v>
      </c>
    </row>
    <row r="10" s="19" customFormat="1" customHeight="1" spans="1:15">
      <c r="A10" s="31" t="s">
        <v>29</v>
      </c>
      <c r="B10" s="31" t="s">
        <v>31</v>
      </c>
      <c r="C10" s="31" t="s">
        <v>19</v>
      </c>
      <c r="D10" s="31">
        <v>3</v>
      </c>
      <c r="E10" s="31">
        <v>0.01</v>
      </c>
      <c r="F10" s="31">
        <f t="shared" si="0"/>
        <v>0.03</v>
      </c>
      <c r="G10" s="31" t="s">
        <v>23</v>
      </c>
      <c r="I10" s="21" t="str">
        <v>槽钢</v>
      </c>
      <c r="J10" s="21" t="str">
        <v>800mm</v>
      </c>
    </row>
    <row r="11" s="19" customFormat="1" customHeight="1" spans="1:15">
      <c r="A11" s="32" t="s">
        <v>32</v>
      </c>
      <c r="B11" s="33" t="s">
        <v>33</v>
      </c>
      <c r="C11" s="33" t="s">
        <v>34</v>
      </c>
      <c r="D11" s="33">
        <v>1</v>
      </c>
      <c r="E11" s="33">
        <v>5</v>
      </c>
      <c r="F11" s="33">
        <f t="shared" si="0"/>
        <v>5</v>
      </c>
      <c r="G11" s="33" t="s">
        <v>27</v>
      </c>
      <c r="I11" s="21" t="str">
        <v>暖气片垫圈</v>
      </c>
      <c r="J11" s="21" t="str">
        <v>DN40</v>
      </c>
    </row>
    <row r="12" s="19" customFormat="1" customHeight="1" spans="1:15">
      <c r="A12" s="31" t="s">
        <v>35</v>
      </c>
      <c r="B12" s="31" t="s">
        <v>36</v>
      </c>
      <c r="C12" s="31" t="s">
        <v>19</v>
      </c>
      <c r="D12" s="31">
        <v>300</v>
      </c>
      <c r="E12" s="31">
        <v>0.53</v>
      </c>
      <c r="F12" s="31">
        <f t="shared" si="0"/>
        <v>159</v>
      </c>
      <c r="G12" s="31" t="s">
        <v>20</v>
      </c>
      <c r="I12" s="21" t="str">
        <v>A</v>
      </c>
      <c r="J12" s="21">
        <v>0</v>
      </c>
    </row>
    <row r="13" s="19" customFormat="1" customHeight="1" spans="1:15">
      <c r="A13" s="32" t="s">
        <v>14</v>
      </c>
      <c r="B13" s="33" t="s">
        <v>15</v>
      </c>
      <c r="C13" s="33" t="s">
        <v>16</v>
      </c>
      <c r="D13" s="33">
        <v>1</v>
      </c>
      <c r="E13" s="33">
        <v>107.69</v>
      </c>
      <c r="F13" s="33">
        <f t="shared" si="0"/>
        <v>107.69</v>
      </c>
      <c r="G13" s="33" t="s">
        <v>17</v>
      </c>
      <c r="I13" s="21" t="str">
        <v>B</v>
      </c>
      <c r="J13" s="21">
        <v>0</v>
      </c>
    </row>
    <row r="14" s="19" customFormat="1" customHeight="1" spans="1:15">
      <c r="A14" s="31" t="s">
        <v>37</v>
      </c>
      <c r="B14" s="31">
        <v>12</v>
      </c>
      <c r="C14" s="31" t="s">
        <v>19</v>
      </c>
      <c r="D14" s="31">
        <v>1</v>
      </c>
      <c r="E14" s="31">
        <v>5</v>
      </c>
      <c r="F14" s="31">
        <f t="shared" si="0"/>
        <v>5</v>
      </c>
      <c r="G14" s="31" t="s">
        <v>27</v>
      </c>
      <c r="I14" s="21" t="str">
        <v>C</v>
      </c>
      <c r="J14" s="21">
        <v>0</v>
      </c>
    </row>
    <row r="15" s="19" customFormat="1" customHeight="1" spans="1:15">
      <c r="A15" s="32" t="s">
        <v>38</v>
      </c>
      <c r="B15" s="33" t="s">
        <v>39</v>
      </c>
      <c r="C15" s="33" t="s">
        <v>40</v>
      </c>
      <c r="D15" s="33">
        <v>900</v>
      </c>
      <c r="E15" s="33">
        <v>4.96</v>
      </c>
      <c r="F15" s="33">
        <f t="shared" si="0"/>
        <v>4464</v>
      </c>
      <c r="G15" s="33" t="s">
        <v>20</v>
      </c>
      <c r="I15" s="21"/>
      <c r="J15" s="21"/>
    </row>
    <row r="16" s="19" customFormat="1" customHeight="1" spans="1:15">
      <c r="A16" s="31" t="s">
        <v>37</v>
      </c>
      <c r="B16" s="31">
        <v>12</v>
      </c>
      <c r="C16" s="31" t="s">
        <v>19</v>
      </c>
      <c r="D16" s="31">
        <v>30</v>
      </c>
      <c r="E16" s="31">
        <v>5</v>
      </c>
      <c r="F16" s="31">
        <f t="shared" si="0"/>
        <v>150</v>
      </c>
      <c r="G16" s="31" t="s">
        <v>20</v>
      </c>
      <c r="I16" s="21"/>
      <c r="J16" s="21"/>
    </row>
    <row r="17" s="19" customFormat="1" customHeight="1" spans="1:10">
      <c r="A17" s="32" t="s">
        <v>29</v>
      </c>
      <c r="B17" s="33" t="s">
        <v>26</v>
      </c>
      <c r="C17" s="33" t="s">
        <v>19</v>
      </c>
      <c r="D17" s="33">
        <v>1</v>
      </c>
      <c r="E17" s="33">
        <v>0.4</v>
      </c>
      <c r="F17" s="33">
        <f t="shared" si="0"/>
        <v>0.4</v>
      </c>
      <c r="G17" s="33" t="s">
        <v>23</v>
      </c>
      <c r="I17" s="21"/>
      <c r="J17" s="21"/>
    </row>
    <row r="18" s="19" customFormat="1" customHeight="1" spans="1:10">
      <c r="A18" s="31" t="s">
        <v>38</v>
      </c>
      <c r="B18" s="31" t="s">
        <v>39</v>
      </c>
      <c r="C18" s="31" t="s">
        <v>40</v>
      </c>
      <c r="D18" s="31">
        <v>4</v>
      </c>
      <c r="E18" s="31">
        <v>4.96</v>
      </c>
      <c r="F18" s="31">
        <f t="shared" si="0"/>
        <v>19.84</v>
      </c>
      <c r="G18" s="31" t="s">
        <v>17</v>
      </c>
      <c r="I18" s="21"/>
      <c r="J18" s="21"/>
    </row>
    <row r="19" s="19" customFormat="1" customHeight="1" spans="1:10">
      <c r="A19" s="32" t="s">
        <v>21</v>
      </c>
      <c r="B19" s="33" t="s">
        <v>22</v>
      </c>
      <c r="C19" s="33" t="s">
        <v>19</v>
      </c>
      <c r="D19" s="33">
        <v>12</v>
      </c>
      <c r="E19" s="33">
        <v>11.11</v>
      </c>
      <c r="F19" s="33">
        <f t="shared" si="0"/>
        <v>133.32</v>
      </c>
      <c r="G19" s="33" t="s">
        <v>17</v>
      </c>
      <c r="I19" s="21"/>
      <c r="J19" s="21"/>
    </row>
    <row r="20" s="19" customFormat="1" customHeight="1" spans="1:10">
      <c r="A20" s="31" t="s">
        <v>41</v>
      </c>
      <c r="B20" s="31" t="s">
        <v>31</v>
      </c>
      <c r="C20" s="31" t="s">
        <v>19</v>
      </c>
      <c r="D20" s="31">
        <v>16</v>
      </c>
      <c r="E20" s="31">
        <v>0.01</v>
      </c>
      <c r="F20" s="31">
        <f t="shared" si="0"/>
        <v>0.16</v>
      </c>
      <c r="G20" s="31" t="s">
        <v>27</v>
      </c>
      <c r="I20" s="21"/>
      <c r="J20" s="21"/>
    </row>
    <row r="21" s="19" customFormat="1" customHeight="1" spans="1:10">
      <c r="A21" s="32" t="s">
        <v>24</v>
      </c>
      <c r="B21" s="33" t="s">
        <v>42</v>
      </c>
      <c r="C21" s="33" t="s">
        <v>19</v>
      </c>
      <c r="D21" s="33">
        <v>1</v>
      </c>
      <c r="E21" s="33">
        <v>15</v>
      </c>
      <c r="F21" s="33">
        <f t="shared" si="0"/>
        <v>15</v>
      </c>
      <c r="G21" s="33" t="s">
        <v>27</v>
      </c>
      <c r="I21" s="21"/>
      <c r="J21" s="21"/>
    </row>
    <row r="22" s="19" customFormat="1" customHeight="1" spans="1:10">
      <c r="A22" s="31" t="s">
        <v>35</v>
      </c>
      <c r="B22" s="31" t="s">
        <v>36</v>
      </c>
      <c r="C22" s="31" t="s">
        <v>19</v>
      </c>
      <c r="D22" s="31">
        <v>12</v>
      </c>
      <c r="E22" s="31">
        <v>0.53</v>
      </c>
      <c r="F22" s="31">
        <f t="shared" si="0"/>
        <v>6.36</v>
      </c>
      <c r="G22" s="31" t="s">
        <v>20</v>
      </c>
      <c r="I22" s="21"/>
      <c r="J22" s="21"/>
    </row>
    <row r="23" s="19" customFormat="1" customHeight="1" spans="1:10">
      <c r="A23" s="32" t="s">
        <v>32</v>
      </c>
      <c r="B23" s="33" t="s">
        <v>33</v>
      </c>
      <c r="C23" s="33" t="s">
        <v>34</v>
      </c>
      <c r="D23" s="33">
        <v>3</v>
      </c>
      <c r="E23" s="33">
        <v>5</v>
      </c>
      <c r="F23" s="33">
        <f t="shared" si="0"/>
        <v>15</v>
      </c>
      <c r="G23" s="33" t="s">
        <v>23</v>
      </c>
      <c r="I23" s="21"/>
      <c r="J23" s="21"/>
    </row>
    <row r="24" customHeight="1" spans="1:10">
      <c r="A24" s="19" t="s">
        <v>47</v>
      </c>
    </row>
    <row r="25" customHeight="1" spans="1:10">
      <c r="A25" s="19" t="s">
        <v>48</v>
      </c>
    </row>
    <row r="26" customHeight="1" spans="1:10">
      <c r="A26" s="19" t="s">
        <v>49</v>
      </c>
    </row>
  </sheetData>
  <dataValidations count="1">
    <dataValidation type="list" allowBlank="1" showInputMessage="1" showErrorMessage="1" sqref="K1">
      <formula1>"水表,绳卡,槽钢"</formula1>
    </dataValidation>
  </dataValidation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U7"/>
  <sheetViews>
    <sheetView topLeftCell="H1" workbookViewId="0">
      <selection activeCell="N3" sqref="N3"/>
    </sheetView>
  </sheetViews>
  <sheetFormatPr defaultColWidth="8.88461538461539" defaultRowHeight="16.8" outlineLevelRow="6"/>
  <cols>
    <col min="1" max="1" width="8.88461538461539" style="19"/>
    <col min="2" max="2" width="6.30769230769231" style="19" customWidth="1"/>
    <col min="3" max="4" width="8.88461538461539" style="19"/>
    <col min="5" max="5" width="8.41346153846154" style="19" customWidth="1"/>
    <col min="6" max="6" width="11.625" style="19" customWidth="1"/>
    <col min="7" max="7" width="20.5" style="19" customWidth="1"/>
    <col min="8" max="8" width="9.65384615384615" style="19"/>
    <col min="9" max="16" width="8.88461538461539" style="19"/>
    <col min="17" max="17" width="9.65384615384615" style="19"/>
    <col min="18" max="16384" width="8.88461538461539" style="19"/>
  </cols>
  <sheetData>
    <row r="1" spans="1:21">
      <c r="A1" s="19" t="s">
        <v>50</v>
      </c>
      <c r="D1" s="19" t="s">
        <v>51</v>
      </c>
      <c r="N1" s="19" t="s">
        <v>52</v>
      </c>
      <c r="O1" s="20">
        <v>3</v>
      </c>
    </row>
    <row r="2" spans="1:21">
      <c r="A2" s="19" t="s">
        <v>47</v>
      </c>
      <c r="B2" s="19">
        <v>1</v>
      </c>
      <c r="D2" s="19" t="s">
        <v>47</v>
      </c>
      <c r="E2" s="19" t="str" cm="1">
        <f t="array" ref="E2:F4">k("$$.leftjoin",D2:D4,A2:B7,"f1","f1","a.f1,b.f2")</f>
      </c>
      <c r="H2" s="19" t="str" cm="1">
        <f t="array" ref="H2:I4">k("(a,v)=&gt;a.filter(x=&gt;x[1]&gt;v)",A2:B7,O1)</f>
      </c>
      <c r="K2" s="19" t="str" cm="1">
        <f t="array" ref="K2:L4">testfilter(A2:B7)</f>
      </c>
      <c r="N2" s="19">
        <f>SUM(k("(arr,v)=&gt;arr.map(x=&gt;[x.f2+v])",A2:B7,O1))</f>
      </c>
      <c r="Q2" s="19" t="str" cm="1">
        <f t="array" ref="Q2:Q6">k("arr=&gt;$$.distinct(arr,'f1')",A2:B7)</f>
      </c>
      <c r="T2" s="19" cm="1">
        <f t="array" ref="T2:U7">k("(arr,v)=&gt;arr.map(x=&gt;[x.f1,x.f2+v])",A2:B7,O1)</f>
      </c>
    </row>
    <row r="3" spans="1:21">
      <c r="A3" s="19" t="s">
        <v>48</v>
      </c>
      <c r="B3" s="19">
        <v>2</v>
      </c>
      <c r="D3" s="19" t="s">
        <v>53</v>
      </c>
    </row>
    <row r="4" spans="1:21">
      <c r="A4" s="19" t="s">
        <v>49</v>
      </c>
      <c r="B4" s="19">
        <v>3</v>
      </c>
      <c r="D4" s="19" t="s">
        <v>54</v>
      </c>
    </row>
    <row r="5" spans="1:21">
      <c r="A5" s="19" t="s">
        <v>53</v>
      </c>
      <c r="B5" s="19">
        <v>4</v>
      </c>
    </row>
    <row r="6" spans="1:21">
      <c r="A6" s="19" t="s">
        <v>47</v>
      </c>
      <c r="B6" s="19">
        <v>5</v>
      </c>
    </row>
    <row r="7" spans="1:21">
      <c r="A7" s="19" t="s">
        <v>54</v>
      </c>
      <c r="B7" s="19">
        <v>6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30"/>
  <sheetViews>
    <sheetView workbookViewId="0">
      <selection activeCell="F16" sqref="F16"/>
    </sheetView>
  </sheetViews>
  <sheetFormatPr defaultColWidth="8.88461538461539" defaultRowHeight="19.2"/>
  <cols>
    <col min="1" max="1" width="12.7788461538462" style="12" customWidth="1"/>
    <col min="2" max="2" width="10" style="12"/>
    <col min="3" max="3" width="14.1057692307692" style="12" customWidth="1"/>
    <col min="4" max="5" width="10" style="13"/>
    <col min="6" max="6" width="10.5576923076923" style="13" customWidth="1"/>
    <col min="7" max="7" width="10.6634615384615" style="12" customWidth="1"/>
    <col min="8" max="8" width="10.4423076923077" style="12"/>
    <col min="9" max="10" width="10.4423076923077" style="12" customWidth="1"/>
    <col min="11" max="12" width="10" style="13"/>
  </cols>
  <sheetData>
    <row r="1" spans="1:12">
      <c r="A1" s="14" t="s">
        <v>55</v>
      </c>
      <c r="B1" s="14" t="s">
        <v>56</v>
      </c>
      <c r="C1" s="14" t="s">
        <v>4</v>
      </c>
      <c r="F1" s="15" t="s">
        <v>55</v>
      </c>
      <c r="G1" s="16" t="s">
        <v>57</v>
      </c>
      <c r="H1" s="16" t="s">
        <v>58</v>
      </c>
      <c r="I1" s="16" t="s">
        <v>59</v>
      </c>
      <c r="J1" s="16" t="s">
        <v>60</v>
      </c>
    </row>
    <row r="2" spans="1:12">
      <c r="A2" s="17" t="s">
        <v>47</v>
      </c>
      <c r="B2" s="17" t="s">
        <v>57</v>
      </c>
      <c r="C2" s="17">
        <v>100</v>
      </c>
      <c r="F2" s="18" t="s">
        <v>47</v>
      </c>
      <c r="G2" s="18">
        <v>1200</v>
      </c>
      <c r="H2" s="18">
        <v>500</v>
      </c>
      <c r="I2" s="18">
        <v>1300</v>
      </c>
      <c r="J2" s="18">
        <v>3000</v>
      </c>
    </row>
    <row r="3" spans="1:12">
      <c r="A3" s="17" t="s">
        <v>47</v>
      </c>
      <c r="B3" s="17" t="s">
        <v>57</v>
      </c>
      <c r="C3" s="17">
        <v>200</v>
      </c>
      <c r="F3" s="18" t="s">
        <v>49</v>
      </c>
      <c r="G3" s="18">
        <v>1400</v>
      </c>
      <c r="H3" s="18">
        <v>700</v>
      </c>
      <c r="I3" s="18">
        <v>1500</v>
      </c>
      <c r="J3" s="18">
        <v>3600</v>
      </c>
    </row>
    <row r="4" spans="1:12">
      <c r="A4" s="17" t="s">
        <v>49</v>
      </c>
      <c r="B4" s="17" t="s">
        <v>57</v>
      </c>
      <c r="C4" s="17">
        <v>300</v>
      </c>
      <c r="F4" s="18" t="s">
        <v>53</v>
      </c>
      <c r="G4" s="18">
        <v>1600</v>
      </c>
      <c r="H4" s="18">
        <v>800</v>
      </c>
      <c r="I4" s="18">
        <v>1600</v>
      </c>
      <c r="J4" s="18">
        <v>4000</v>
      </c>
    </row>
    <row r="5" spans="1:12">
      <c r="A5" s="17" t="s">
        <v>53</v>
      </c>
      <c r="B5" s="17" t="s">
        <v>57</v>
      </c>
      <c r="C5" s="17">
        <v>400</v>
      </c>
      <c r="F5" s="18" t="s">
        <v>48</v>
      </c>
      <c r="G5" s="18">
        <v>1000</v>
      </c>
      <c r="H5" s="18">
        <v>600</v>
      </c>
      <c r="I5" s="18">
        <v>1400</v>
      </c>
      <c r="J5" s="18">
        <v>3000</v>
      </c>
    </row>
    <row r="6" spans="1:12">
      <c r="A6" s="17" t="s">
        <v>47</v>
      </c>
      <c r="B6" s="17" t="s">
        <v>58</v>
      </c>
      <c r="C6" s="17">
        <v>500</v>
      </c>
    </row>
    <row r="7" spans="1:12">
      <c r="A7" s="17" t="s">
        <v>48</v>
      </c>
      <c r="B7" s="17" t="s">
        <v>58</v>
      </c>
      <c r="C7" s="17">
        <v>600</v>
      </c>
    </row>
    <row r="8" spans="1:12">
      <c r="A8" s="17" t="s">
        <v>49</v>
      </c>
      <c r="B8" s="17" t="s">
        <v>58</v>
      </c>
      <c r="C8" s="17">
        <v>700</v>
      </c>
    </row>
    <row r="9" spans="1:12">
      <c r="A9" s="17" t="s">
        <v>53</v>
      </c>
      <c r="B9" s="17" t="s">
        <v>58</v>
      </c>
      <c r="C9" s="17">
        <v>800</v>
      </c>
      <c r="F9" s="12" t="str" cm="1">
        <f t="array" ref="F9">k("(...args)=&gt;$$.insertCols($$.superPivot(...args),-1,x=&gt;x.sum())",A1:C17,"f1","f2","sum('f3')",1,0)</f>
      </c>
    </row>
    <row r="10" spans="1:12">
      <c r="A10" s="17" t="s">
        <v>47</v>
      </c>
      <c r="B10" s="17" t="s">
        <v>57</v>
      </c>
      <c r="C10" s="17">
        <v>900</v>
      </c>
      <c r="B11" s="17" t="s">
        <v>57</v>
      </c>
      <c r="C11" s="17">
        <v>1000</v>
      </c>
      <c r="B12" s="17" t="s">
        <v>57</v>
      </c>
      <c r="C12" s="17">
        <v>1100</v>
      </c>
      <c r="E12"/>
      <c r="F12" s="2"/>
      <c r="G12" s="2"/>
      <c r="H12" s="2"/>
      <c r="I12" s="2"/>
      <c r="J12" s="2"/>
      <c r="K12"/>
      <c r="L12"/>
    </row>
    <row r="13" spans="1:12">
      <c r="A13" s="17" t="s">
        <v>53</v>
      </c>
      <c r="B13" s="17" t="s">
        <v>57</v>
      </c>
      <c r="C13" s="17">
        <v>1200</v>
      </c>
      <c r="E13"/>
      <c r="F13" s="2"/>
      <c r="G13" s="2"/>
      <c r="H13" s="2"/>
      <c r="I13" s="2"/>
      <c r="J13"/>
      <c r="K13"/>
      <c r="L13"/>
    </row>
    <row r="14" spans="1:12">
      <c r="A14" s="17" t="s">
        <v>47</v>
      </c>
      <c r="B14" s="17" t="s">
        <v>59</v>
      </c>
      <c r="C14" s="17">
        <v>1300</v>
      </c>
      <c r="E14"/>
      <c r="F14" s="2"/>
      <c r="G14" s="2"/>
      <c r="H14" s="2"/>
      <c r="I14" s="2"/>
      <c r="J14"/>
      <c r="K14"/>
      <c r="L14"/>
    </row>
    <row r="15" spans="1:12">
      <c r="A15" s="17" t="s">
        <v>48</v>
      </c>
      <c r="B15" s="17" t="s">
        <v>59</v>
      </c>
      <c r="C15" s="17">
        <v>1400</v>
      </c>
      <c r="E15"/>
      <c r="F15" t="str" cm="1">
        <f t="array" ref="F15:G30">k("(x,y)=&gt;{y=y+1;return x.map(a=&gt;[a[0],a[2]+'-'+y])}",A2:C17,1)</f>
      </c>
      <c r="H15"/>
      <c r="I15"/>
      <c r="J15"/>
      <c r="K15"/>
      <c r="L15"/>
    </row>
    <row r="16" spans="1:12">
      <c r="A16" s="17" t="s">
        <v>49</v>
      </c>
      <c r="B16" s="17" t="s">
        <v>59</v>
      </c>
      <c r="C16" s="17">
        <v>1500</v>
      </c>
      <c r="E16"/>
      <c r="F16" t="str">
        <v>A</v>
      </c>
      <c r="H16"/>
      <c r="I16"/>
      <c r="J16"/>
      <c r="K16"/>
      <c r="L16"/>
    </row>
    <row r="17" spans="1:12">
      <c r="A17" s="17" t="s">
        <v>53</v>
      </c>
      <c r="B17" s="17" t="s">
        <v>59</v>
      </c>
      <c r="C17" s="17">
        <v>1600</v>
      </c>
      <c r="E17"/>
      <c r="F17" t="str">
        <v>C</v>
      </c>
      <c r="H17"/>
      <c r="I17"/>
      <c r="J17"/>
      <c r="K17"/>
      <c r="L17"/>
    </row>
    <row r="18" spans="1:12">
      <c r="E18"/>
      <c r="F18" t="str">
        <v>D</v>
      </c>
      <c r="H18"/>
      <c r="I18"/>
      <c r="J18"/>
      <c r="K18"/>
      <c r="L18"/>
    </row>
    <row r="19" spans="1:12">
      <c r="E19"/>
      <c r="F19" t="str">
        <v>A</v>
      </c>
      <c r="H19"/>
      <c r="I19"/>
      <c r="J19"/>
      <c r="K19"/>
      <c r="L19"/>
    </row>
    <row r="20" spans="1:12">
      <c r="E20"/>
      <c r="F20" t="str">
        <v>B</v>
      </c>
      <c r="H20"/>
      <c r="I20"/>
      <c r="J20"/>
      <c r="K20"/>
      <c r="L20"/>
    </row>
    <row r="21" spans="1:12">
      <c r="F21" s="13" t="str">
        <v>C</v>
      </c>
    </row>
    <row r="22" spans="1:12"/>
    <row r="23" spans="1:12"/>
    <row r="24" spans="1:12"/>
    <row r="25" spans="1:12"/>
    <row r="26" spans="1:12"/>
    <row r="27" spans="1:12"/>
    <row r="28" spans="1:12"/>
    <row r="29" spans="1:12"/>
    <row r="30" spans="1:12"/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L40"/>
  <sheetViews>
    <sheetView topLeftCell="D1" workbookViewId="0">
      <selection activeCell="K2" sqref="K2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12" max="12" width="17.2788461538462" customWidth="1"/>
  </cols>
  <sheetData>
    <row r="1" ht="18.35" spans="1:12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K1" t="s">
        <v>68</v>
      </c>
      <c r="L1" t="s">
        <v>69</v>
      </c>
    </row>
    <row r="2" ht="18.35" spans="1:12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  <c r="K2" t="s">
        <v>72</v>
      </c>
      <c r="L2" t="s">
        <v>73</v>
      </c>
    </row>
    <row r="3" ht="18.35" spans="1:12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  <c r="K3" t="s">
        <v>76</v>
      </c>
      <c r="L3" t="s">
        <v>77</v>
      </c>
    </row>
    <row r="4" ht="18.35" spans="1:12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  <c r="K4" t="s">
        <v>79</v>
      </c>
      <c r="L4" t="s">
        <v>80</v>
      </c>
    </row>
    <row r="5" ht="18.35" spans="1:12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</row>
    <row r="6" ht="18.35" spans="1:12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</row>
    <row r="7" ht="18.35" spans="1:12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</row>
    <row r="8" ht="18.35" spans="1:12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</row>
    <row r="9" ht="18.35" spans="1:12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</row>
    <row r="10" ht="18.35" spans="1:12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</row>
    <row r="11" ht="18.35" spans="1:12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</row>
    <row r="12" ht="18.35" spans="1:12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</row>
    <row r="13" ht="18.35" spans="1:12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</row>
    <row r="14" ht="17.6" spans="1:12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12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</row>
    <row r="16" ht="17.6" spans="1:12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</row>
    <row r="17" ht="18.35" spans="1:8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</row>
    <row r="18" ht="17.6" spans="1:8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</row>
    <row r="19" ht="18.35" spans="1:8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</row>
    <row r="20" ht="17.6" spans="1:8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</row>
    <row r="21" ht="18.35" spans="1:8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</row>
    <row r="22" ht="17.6" spans="1:8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</row>
    <row r="23" ht="18.35" spans="1:8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</row>
    <row r="24" ht="17.6" spans="1:8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</row>
    <row r="25" ht="18.35" spans="1:8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</row>
    <row r="26" ht="17.6" spans="1:8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</row>
    <row r="27" ht="18.35" spans="1:8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</row>
    <row r="28" ht="17.6" spans="1:8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8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8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8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8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</row>
    <row r="40" ht="17.6" spans="1: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S40"/>
  <sheetViews>
    <sheetView topLeftCell="C1" workbookViewId="0">
      <selection activeCell="K18" sqref="K18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9" max="9" width="7.41346153846154" customWidth="1"/>
    <col min="10" max="10" width="5.44230769230769" customWidth="1"/>
    <col min="11" max="11" width="9.44230769230769" customWidth="1"/>
    <col min="12" max="14" width="5.44230769230769" customWidth="1"/>
    <col min="15" max="15" width="9.44230769230769" customWidth="1"/>
    <col min="16" max="16" width="5.44230769230769" customWidth="1"/>
    <col min="17" max="17" width="15.9423076923077" customWidth="1"/>
    <col min="18" max="18" width="7.19230769230769" customWidth="1"/>
    <col min="19" max="19" width="16.1057692307692" customWidth="1"/>
    <col min="20" max="22" width="5.44230769230769" customWidth="1"/>
    <col min="23" max="23" width="32.875" customWidth="1"/>
    <col min="24" max="26" width="5.44230769230769" customWidth="1"/>
    <col min="27" max="27" width="10.4423076923077" customWidth="1"/>
  </cols>
  <sheetData>
    <row r="1" ht="18.35" spans="1:19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J1" s="2" t="str" cm="1">
        <f t="array" ref="J1:N16">k("$$.superPivot",A1:H40,"f3,f2","f6","count(),sum('f4'),textjoin('f4','+')")</f>
      </c>
    </row>
    <row r="2" ht="18.35" spans="1:19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</row>
    <row r="3" ht="18.35" spans="1:19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</row>
    <row r="4" ht="18.35" spans="1:19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</row>
    <row r="5" ht="18.35" spans="1:19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</row>
    <row r="6" ht="18.35" spans="1:19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</row>
    <row r="7" ht="18.35" spans="1:19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</row>
    <row r="8" ht="18.35" spans="1:19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</row>
    <row r="9" ht="18.35" spans="1:19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</row>
    <row r="10" ht="18.35" spans="1:19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</row>
    <row r="11" ht="18.35" spans="1:19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</row>
    <row r="12" ht="18.35" spans="1:19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</row>
    <row r="13" ht="18.35" spans="1:19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</row>
    <row r="14" ht="17.6" spans="1:19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19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</row>
    <row r="16" ht="17.6" spans="1:19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</row>
    <row r="17" ht="18.35" spans="1:11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  <c r="K17" t="str" cm="1">
        <f t="array" ref="K17">k("anything")</f>
      </c>
    </row>
    <row r="18" ht="17.6" spans="1:11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</row>
    <row r="19" ht="18.35" spans="1:11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</row>
    <row r="20" ht="17.6" spans="1:11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</row>
    <row r="21" ht="18.35" spans="1:11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</row>
    <row r="22" ht="17.6" spans="1:11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</row>
    <row r="23" ht="18.35" spans="1:11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</row>
    <row r="24" ht="17.6" spans="1:11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</row>
    <row r="25" ht="18.35" spans="1:11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</row>
    <row r="26" ht="17.6" spans="1:11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</row>
    <row r="27" ht="18.35" spans="1:11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</row>
    <row r="28" ht="17.6" spans="1:11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11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11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11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11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</row>
    <row r="40" ht="17.6" spans="1: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N40"/>
  <sheetViews>
    <sheetView topLeftCell="G1" workbookViewId="0">
      <selection activeCell="J2" sqref="J2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9" max="9" width="7.41346153846154" customWidth="1"/>
    <col min="13" max="13" width="20.2788461538462" customWidth="1"/>
    <col min="14" max="14" width="25.375" customWidth="1"/>
    <col min="16" max="16" width="14.8365384615385" customWidth="1"/>
  </cols>
  <sheetData>
    <row r="1" ht="18.35" spans="1:14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J1" t="str" cm="1">
        <f t="array" ref="J1:N1">k("(...args)=&gt;$$.superPivot(...args).filter((x,i)=&gt;i==0 || x.f2=='Product1')",A1:H40,"f3,f2","","count(),sum(`f4`),textjoin(`f4`,`+`)")</f>
      </c>
    </row>
    <row r="2" ht="18.35" spans="1:14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</row>
    <row r="3" ht="18.35" spans="1:14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</row>
    <row r="4" ht="18.35" spans="1:14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</row>
    <row r="5" ht="18.35" spans="1:14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</row>
    <row r="6" ht="18.35" spans="1:14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</row>
    <row r="7" ht="18.35" spans="1:14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</row>
    <row r="8" ht="18.35" spans="1:14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</row>
    <row r="9" ht="18.35" spans="1:14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</row>
    <row r="10" ht="18.35" spans="1:14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</row>
    <row r="11" ht="18.35" spans="1:14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</row>
    <row r="12" ht="18.35" spans="1:14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</row>
    <row r="13" ht="18.35" spans="1:14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</row>
    <row r="14" ht="17.6" spans="1:14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14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</row>
    <row r="16" ht="17.6" spans="1:14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</row>
    <row r="17" ht="18.35" spans="1:8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</row>
    <row r="18" ht="17.6" spans="1:8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</row>
    <row r="19" ht="18.35" spans="1:8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</row>
    <row r="20" ht="17.6" spans="1:8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</row>
    <row r="21" ht="18.35" spans="1:8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</row>
    <row r="22" ht="17.6" spans="1:8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</row>
    <row r="23" ht="18.35" spans="1:8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</row>
    <row r="24" ht="17.6" spans="1:8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</row>
    <row r="25" ht="18.35" spans="1:8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</row>
    <row r="26" ht="17.6" spans="1:8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</row>
    <row r="27" ht="18.35" spans="1:8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</row>
    <row r="28" ht="17.6" spans="1:8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8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8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8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8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</row>
    <row r="40" ht="17.6" spans="1: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B12"/>
  <sheetViews>
    <sheetView tabSelected="1" workbookViewId="0">
      <selection activeCell="I7" sqref="I7"/>
    </sheetView>
  </sheetViews>
  <sheetFormatPr defaultColWidth="8.88461538461539" defaultRowHeight="16.8" outlineLevelCol="1"/>
  <sheetData>
    <row r="1" spans="1:2">
      <c r="A1" t="s">
        <v>84</v>
      </c>
    </row>
    <row r="2" spans="1:2">
      <c r="A2">
        <v>1</v>
      </c>
    </row>
    <row r="3" spans="1:2">
      <c r="A3">
        <v>2</v>
      </c>
    </row>
    <row r="4" spans="1:2">
      <c r="A4">
        <v>3</v>
      </c>
      <c r="B4" s="1"/>
    </row>
    <row r="5" spans="1:2">
      <c r="A5" t="s">
        <v>84</v>
      </c>
    </row>
    <row r="6" spans="1:2">
      <c r="A6">
        <v>1</v>
      </c>
    </row>
    <row r="7" spans="1:2">
      <c r="A7">
        <v>2</v>
      </c>
    </row>
    <row r="8" spans="1:2">
      <c r="A8">
        <v>3</v>
      </c>
    </row>
    <row r="9" spans="1:2">
      <c r="A9" t="s">
        <v>84</v>
      </c>
    </row>
    <row r="10" spans="1:2">
      <c r="A10">
        <v>1</v>
      </c>
    </row>
    <row r="11" spans="1:2">
      <c r="A11">
        <v>2</v>
      </c>
    </row>
    <row r="12" spans="1:2">
      <c r="A12">
        <v>3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Sheet1</vt:lpstr>
      <vt:lpstr>Sheet2</vt:lpstr>
      <vt:lpstr>筛选</vt:lpstr>
      <vt:lpstr>去重</vt:lpstr>
      <vt:lpstr>Sheet5</vt:lpstr>
      <vt:lpstr>abcd汇总</vt:lpstr>
      <vt:lpstr>产品国家</vt:lpstr>
      <vt:lpstr>多层透视</vt:lpstr>
      <vt:lpstr>多层透视 (2)</vt:lpstr>
      <vt:lpstr>test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徐晓冬</cp:lastModifiedBy>
  <dcterms:created xsi:type="dcterms:W3CDTF">2023-11-30T03:38:00Z</dcterms:created>
  <dcterms:modified xsi:type="dcterms:W3CDTF">2026-06-06T01:59:20Z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A7C92B27700A47BDB775BD558CCA2EBD_13</vt:lpwstr>
  </property>
  <property fmtid="{D5CDD505-2E9C-101B-9397-08002B2CF9AE}" pid="3" name="KSOProductBuildVer">
    <vt:lpwstr>2052-12.1.26016.26016</vt:lpwstr>
  </property>
  <property fmtid="{D5CDD505-2E9C-101B-9397-08002B2CF9AE}" pid="4" name="CalculationRule">
    <vt:i4>0</vt:i4>
  </property>
</Properties>
</file>