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7688" windowHeight="5547" tabRatio="446"/>
  </bookViews>
  <sheets>
    <sheet name="Sheet2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<sst xmlns="http://schemas.openxmlformats.org/spreadsheetml/2006/main" count="117" uniqueCount="17">
  <si>
    <t>ID</t>
  </si>
  <si>
    <t>产品</t>
  </si>
  <si>
    <t>国家</t>
  </si>
  <si>
    <t>数量</t>
  </si>
  <si>
    <t>价格</t>
  </si>
  <si>
    <t>年</t>
  </si>
  <si>
    <t>月</t>
  </si>
  <si>
    <t>日</t>
  </si>
  <si>
    <t>年份</t>
  </si>
  <si>
    <t>数量求和</t>
  </si>
  <si>
    <t>计数</t>
  </si>
  <si>
    <t>Product1</t>
  </si>
  <si>
    <t>中国</t>
  </si>
  <si>
    <t>德国</t>
  </si>
  <si>
    <t>Product2</t>
  </si>
  <si>
    <t>英国</t>
  </si>
  <si>
    <t>美国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</si>
</sst>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34"/>
      <scheme val="minor"/>
    </font>
    <font>
      <b/>
      <sz val="11"/>
      <color rgb="FFFFFFFF"/>
      <name val="Microsoft YaHei"/>
      <charset val="134"/>
    </font>
    <font>
      <sz val="10"/>
      <color rgb="FF000000"/>
      <name val="Microsoft YaHei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AAF1E"/>
        <bgColor indexed="64"/>
      </patternFill>
    </fill>
    <fill>
      <patternFill patternType="solid">
        <fgColor rgb="FFFFF8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theme="8" tint="0.799981688894314"/>
      </patternFill>
    </fill>
    <fill>
      <patternFill patternType="solid">
        <fgColor rgb="FFFFF8EC"/>
        <bgColor theme="8" tint="0.79998168889431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medium">
        <color rgb="FFFAAF1E"/>
      </left>
      <right/>
      <top style="medium">
        <color rgb="FFFAAF1E"/>
      </top>
      <bottom style="medium">
        <color rgb="FFFAAF1E"/>
      </bottom>
      <diagonal/>
    </border>
    <border>
      <left/>
      <right/>
      <top style="medium">
        <color rgb="FFFAAF1E"/>
      </top>
      <bottom style="medium">
        <color rgb="FFFAAF1E"/>
      </bottom>
      <diagonal/>
    </border>
    <border>
      <left/>
      <right style="medium">
        <color rgb="FFFAAF1E"/>
      </right>
      <top style="medium">
        <color rgb="FFFAAF1E"/>
      </top>
      <bottom style="medium">
        <color rgb="FFFAAF1E"/>
      </bottom>
      <diagonal/>
    </border>
    <border>
      <left style="medium">
        <color rgb="FFFAAF1E"/>
      </left>
      <right/>
      <top/>
      <bottom style="dashed">
        <color rgb="FFFAAF1E"/>
      </bottom>
      <diagonal/>
    </border>
    <border>
      <left/>
      <right/>
      <top/>
      <bottom style="dashed">
        <color rgb="FFFAAF1E"/>
      </bottom>
      <diagonal/>
    </border>
    <border>
      <left/>
      <right style="medium">
        <color rgb="FFFAAF1E"/>
      </right>
      <top/>
      <bottom style="dashed">
        <color rgb="FFFAAF1E"/>
      </bottom>
      <diagonal/>
    </border>
    <border>
      <left style="medium">
        <color rgb="FFFAAF1E"/>
      </left>
      <right/>
      <top style="dashed">
        <color rgb="FFFAAF1E"/>
      </top>
      <bottom style="dashed">
        <color rgb="FFFAAF1E"/>
      </bottom>
      <diagonal/>
    </border>
    <border>
      <left/>
      <right/>
      <top style="dashed">
        <color rgb="FFFAAF1E"/>
      </top>
      <bottom style="dashed">
        <color rgb="FFFAAF1E"/>
      </bottom>
      <diagonal/>
    </border>
    <border>
      <left/>
      <right style="medium">
        <color rgb="FFFAAF1E"/>
      </right>
      <top style="dashed">
        <color rgb="FFFAAF1E"/>
      </top>
      <bottom style="dashed">
        <color rgb="FFFAAF1E"/>
      </bottom>
      <diagonal/>
    </border>
    <border>
      <left style="medium">
        <color rgb="FFFAAF1E"/>
      </left>
      <right/>
      <top style="dashed">
        <color rgb="FFFAAF1E"/>
      </top>
      <bottom style="medium">
        <color rgb="FFFAAF1E"/>
      </bottom>
      <diagonal/>
    </border>
    <border>
      <left/>
      <right/>
      <top style="dashed">
        <color rgb="FFFAAF1E"/>
      </top>
      <bottom style="medium">
        <color rgb="FFFAAF1E"/>
      </bottom>
      <diagonal/>
    </border>
    <border>
      <left/>
      <right style="medium">
        <color rgb="FFFAAF1E"/>
      </right>
      <top style="dashed">
        <color rgb="FFFAAF1E"/>
      </top>
      <bottom style="medium">
        <color rgb="FFFAAF1E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7" borderId="13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14" applyNumberFormat="0" applyFill="0" applyAlignment="0" applyProtection="0">
      <alignment vertical="center"/>
    </xf>
    <xf numFmtId="0" fontId="9" fillId="0" borderId="14" applyNumberFormat="0" applyFill="0" applyAlignment="0" applyProtection="0">
      <alignment vertical="center"/>
    </xf>
    <xf numFmtId="0" fontId="10" fillId="0" borderId="15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8" borderId="16" applyNumberFormat="0" applyAlignment="0" applyProtection="0">
      <alignment vertical="center"/>
    </xf>
    <xf numFmtId="0" fontId="12" fillId="9" borderId="17" applyNumberFormat="0" applyAlignment="0" applyProtection="0">
      <alignment vertical="center"/>
    </xf>
    <xf numFmtId="0" fontId="13" fillId="9" borderId="16" applyNumberFormat="0" applyAlignment="0" applyProtection="0">
      <alignment vertical="center"/>
    </xf>
    <xf numFmtId="0" fontId="14" fillId="10" borderId="18" applyNumberFormat="0" applyAlignment="0" applyProtection="0">
      <alignment vertical="center"/>
    </xf>
    <xf numFmtId="0" fontId="15" fillId="0" borderId="19" applyNumberFormat="0" applyFill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www.wps.cn/officeDocument/2018/jdeExtension" Target="JDEData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Y32"/>
  <sheetViews>
    <sheetView tabSelected="1" workbookViewId="0">
      <selection activeCell="L15" sqref="L15"/>
    </sheetView>
  </sheetViews>
  <sheetFormatPr defaultColWidth="8.88495575221239" defaultRowHeight="15"/>
  <cols>
    <col min="1" max="1" width="7.20353982300885" customWidth="1"/>
    <col min="2" max="2" width="10.6106194690265" customWidth="1"/>
    <col min="3" max="5" width="6.89380530973451" customWidth="1"/>
    <col min="6" max="6" width="7.24778761061947" customWidth="1"/>
    <col min="7" max="8" width="5.12389380530973" customWidth="1"/>
    <col min="11" max="19" width="8.75221238938053" customWidth="1"/>
    <col min="20" max="20" width="8.75221238938053" style="1" customWidth="1"/>
    <col min="21" max="21" width="8.75221238938053" style="2" customWidth="1"/>
    <col min="22" max="25" width="8.75221238938053" customWidth="1"/>
  </cols>
  <sheetData>
    <row r="1" ht="15.75" spans="1: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O1">
        <v>1</v>
      </c>
    </row>
    <row r="2" ht="18.5" customHeight="1" spans="1:25">
      <c r="A2" s="3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5" t="s">
        <v>7</v>
      </c>
      <c r="K2" t="s">
        <v>2</v>
      </c>
      <c r="L2" t="s">
        <v>3</v>
      </c>
      <c r="O2">
        <v>1</v>
      </c>
      <c r="U2" s="2" t="s">
        <v>2</v>
      </c>
      <c r="V2" t="s">
        <v>1</v>
      </c>
      <c r="W2" t="s">
        <v>8</v>
      </c>
      <c r="X2" t="s">
        <v>9</v>
      </c>
      <c r="Y2" t="s">
        <v>10</v>
      </c>
    </row>
    <row r="3" ht="18.5" customHeight="1" spans="1:25">
      <c r="A3" s="6">
        <v>1</v>
      </c>
      <c r="B3" s="7" t="s">
        <v>11</v>
      </c>
      <c r="C3" s="8" t="s">
        <v>12</v>
      </c>
      <c r="D3" s="7">
        <v>19</v>
      </c>
      <c r="E3" s="8">
        <v>1</v>
      </c>
      <c r="F3" s="7">
        <v>2023</v>
      </c>
      <c r="G3" s="8">
        <v>10</v>
      </c>
      <c r="H3" s="9">
        <v>10</v>
      </c>
      <c r="K3" t="s">
        <v>12</v>
      </c>
      <c r="L3">
        <v>115</v>
      </c>
      <c r="M3">
        <f>SUMIFS(D:D,C:C,K3)</f>
        <v>115</v>
      </c>
      <c r="U3" s="2" t="s">
        <v>13</v>
      </c>
      <c r="V3" t="s">
        <v>11</v>
      </c>
      <c r="W3">
        <v>2021</v>
      </c>
      <c r="X3">
        <v>18</v>
      </c>
      <c r="Y3">
        <v>1</v>
      </c>
    </row>
    <row r="4" ht="18.5" customHeight="1" spans="1:25">
      <c r="A4" s="10">
        <v>2</v>
      </c>
      <c r="B4" s="11" t="s">
        <v>14</v>
      </c>
      <c r="C4" s="12" t="s">
        <v>13</v>
      </c>
      <c r="D4" s="11">
        <v>19</v>
      </c>
      <c r="E4" s="12">
        <v>5</v>
      </c>
      <c r="F4" s="11">
        <v>2023</v>
      </c>
      <c r="G4" s="12">
        <v>4</v>
      </c>
      <c r="H4" s="13">
        <v>5</v>
      </c>
      <c r="K4" t="s">
        <v>13</v>
      </c>
      <c r="L4">
        <v>129</v>
      </c>
      <c r="M4">
        <f>SUMIFS(D:D,C:C,K4)</f>
        <v>129</v>
      </c>
      <c r="U4" s="2" t="s">
        <v>13</v>
      </c>
      <c r="V4" t="s">
        <v>11</v>
      </c>
      <c r="W4">
        <v>2023</v>
      </c>
      <c r="X4">
        <v>44</v>
      </c>
      <c r="Y4">
        <v>3</v>
      </c>
    </row>
    <row r="5" ht="18.5" customHeight="1" spans="1:25">
      <c r="A5" s="10">
        <v>3</v>
      </c>
      <c r="B5" s="14" t="s">
        <v>14</v>
      </c>
      <c r="C5" s="15" t="s">
        <v>15</v>
      </c>
      <c r="D5" s="14">
        <v>19</v>
      </c>
      <c r="E5" s="15">
        <v>5</v>
      </c>
      <c r="F5" s="14">
        <v>2022</v>
      </c>
      <c r="G5" s="15">
        <v>6</v>
      </c>
      <c r="H5" s="16">
        <v>28</v>
      </c>
      <c r="K5" t="s">
        <v>15</v>
      </c>
      <c r="L5">
        <v>105</v>
      </c>
      <c r="M5">
        <f>SUMIFS(D:D,C:C,K5)</f>
        <v>105</v>
      </c>
      <c r="U5" s="2" t="s">
        <v>13</v>
      </c>
      <c r="V5" t="s">
        <v>11</v>
      </c>
      <c r="W5">
        <v>2024</v>
      </c>
      <c r="X5">
        <v>12</v>
      </c>
      <c r="Y5">
        <v>1</v>
      </c>
    </row>
    <row r="6" ht="18.5" customHeight="1" spans="1:25">
      <c r="A6" s="10">
        <v>4</v>
      </c>
      <c r="B6" s="11" t="s">
        <v>14</v>
      </c>
      <c r="C6" s="12" t="s">
        <v>16</v>
      </c>
      <c r="D6" s="11">
        <v>15</v>
      </c>
      <c r="E6" s="12">
        <v>5</v>
      </c>
      <c r="F6" s="11">
        <v>2024</v>
      </c>
      <c r="G6" s="12">
        <v>5</v>
      </c>
      <c r="H6" s="13">
        <v>1</v>
      </c>
      <c r="K6" t="s">
        <v>16</v>
      </c>
      <c r="L6">
        <v>93</v>
      </c>
      <c r="M6">
        <f>SUMIFS(D:D,C:C,K6)</f>
        <v>93</v>
      </c>
      <c r="U6" s="2" t="s">
        <v>13</v>
      </c>
      <c r="V6" t="s">
        <v>14</v>
      </c>
      <c r="W6">
        <v>2022</v>
      </c>
      <c r="X6">
        <v>18</v>
      </c>
      <c r="Y6">
        <v>1</v>
      </c>
    </row>
    <row r="7" ht="18.5" customHeight="1" spans="1:25">
      <c r="A7" s="10">
        <v>5</v>
      </c>
      <c r="B7" s="14" t="s">
        <v>11</v>
      </c>
      <c r="C7" s="15" t="s">
        <v>12</v>
      </c>
      <c r="D7" s="14">
        <v>11</v>
      </c>
      <c r="E7" s="15">
        <v>1</v>
      </c>
      <c r="F7" s="14">
        <v>2024</v>
      </c>
      <c r="G7" s="15">
        <v>11</v>
      </c>
      <c r="H7" s="16">
        <v>15</v>
      </c>
      <c r="U7" s="2" t="s">
        <v>13</v>
      </c>
      <c r="V7" t="s">
        <v>14</v>
      </c>
      <c r="W7">
        <v>2023</v>
      </c>
      <c r="X7">
        <v>37</v>
      </c>
      <c r="Y7">
        <v>2</v>
      </c>
    </row>
    <row r="8" ht="18.5" customHeight="1" spans="1:25">
      <c r="A8" s="10">
        <v>6</v>
      </c>
      <c r="B8" s="11" t="s">
        <v>14</v>
      </c>
      <c r="C8" s="12" t="s">
        <v>13</v>
      </c>
      <c r="D8" s="11">
        <v>18</v>
      </c>
      <c r="E8" s="12">
        <v>5</v>
      </c>
      <c r="F8" s="11">
        <v>2023</v>
      </c>
      <c r="G8" s="12">
        <v>2</v>
      </c>
      <c r="H8" s="13">
        <v>18</v>
      </c>
      <c r="U8" s="2" t="s">
        <v>16</v>
      </c>
      <c r="V8" t="s">
        <v>11</v>
      </c>
      <c r="W8">
        <v>2022</v>
      </c>
      <c r="X8">
        <v>16</v>
      </c>
      <c r="Y8">
        <v>1</v>
      </c>
    </row>
    <row r="9" ht="18.5" customHeight="1" spans="1:25">
      <c r="A9" s="10">
        <v>7</v>
      </c>
      <c r="B9" s="11" t="s">
        <v>14</v>
      </c>
      <c r="C9" s="12" t="s">
        <v>15</v>
      </c>
      <c r="D9" s="11">
        <v>11</v>
      </c>
      <c r="E9" s="12">
        <v>5</v>
      </c>
      <c r="F9" s="11">
        <v>2023</v>
      </c>
      <c r="G9" s="12">
        <v>6</v>
      </c>
      <c r="H9" s="13">
        <v>16</v>
      </c>
      <c r="U9" s="2" t="s">
        <v>16</v>
      </c>
      <c r="V9" t="s">
        <v>11</v>
      </c>
      <c r="W9">
        <v>2023</v>
      </c>
      <c r="X9">
        <v>40</v>
      </c>
      <c r="Y9">
        <v>3</v>
      </c>
    </row>
    <row r="10" ht="18.5" customHeight="1" spans="1:25">
      <c r="A10" s="10">
        <v>8</v>
      </c>
      <c r="B10" s="14" t="s">
        <v>14</v>
      </c>
      <c r="C10" s="15" t="s">
        <v>16</v>
      </c>
      <c r="D10" s="14">
        <v>11</v>
      </c>
      <c r="E10" s="15">
        <v>5</v>
      </c>
      <c r="F10" s="14">
        <v>2023</v>
      </c>
      <c r="G10" s="15">
        <v>6</v>
      </c>
      <c r="H10" s="16">
        <v>21</v>
      </c>
      <c r="K10">
        <v>1</v>
      </c>
      <c r="U10" s="2" t="s">
        <v>16</v>
      </c>
      <c r="V10" t="s">
        <v>14</v>
      </c>
      <c r="W10">
        <v>2023</v>
      </c>
      <c r="X10">
        <v>22</v>
      </c>
      <c r="Y10">
        <v>2</v>
      </c>
    </row>
    <row r="11" ht="18.5" customHeight="1" spans="1:25">
      <c r="A11" s="10">
        <v>9</v>
      </c>
      <c r="B11" s="14" t="s">
        <v>11</v>
      </c>
      <c r="C11" s="15" t="s">
        <v>12</v>
      </c>
      <c r="D11" s="14">
        <v>13</v>
      </c>
      <c r="E11" s="15">
        <v>1</v>
      </c>
      <c r="F11" s="14">
        <v>2022</v>
      </c>
      <c r="G11" s="15">
        <v>7</v>
      </c>
      <c r="H11" s="16">
        <v>18</v>
      </c>
      <c r="K11">
        <v>2</v>
      </c>
      <c r="N11">
        <f>SUM({1,2,3,4,5})</f>
        <v>15</v>
      </c>
      <c r="U11" s="2" t="s">
        <v>16</v>
      </c>
      <c r="V11" t="s">
        <v>14</v>
      </c>
      <c r="W11">
        <v>2024</v>
      </c>
      <c r="X11">
        <v>15</v>
      </c>
      <c r="Y11">
        <v>1</v>
      </c>
    </row>
    <row r="12" ht="18.5" customHeight="1" spans="1:25">
      <c r="A12" s="10">
        <v>10</v>
      </c>
      <c r="B12" s="11" t="s">
        <v>11</v>
      </c>
      <c r="C12" s="12" t="s">
        <v>13</v>
      </c>
      <c r="D12" s="11">
        <v>18</v>
      </c>
      <c r="E12" s="12">
        <v>1</v>
      </c>
      <c r="F12" s="11">
        <v>2021</v>
      </c>
      <c r="G12" s="12">
        <v>11</v>
      </c>
      <c r="H12" s="13">
        <v>13</v>
      </c>
      <c r="K12">
        <v>3</v>
      </c>
      <c r="L12">
        <f>STDEV(K10:K15)</f>
        <v>1.87082869338697</v>
      </c>
      <c r="U12" s="2" t="s">
        <v>15</v>
      </c>
      <c r="V12" t="s">
        <v>11</v>
      </c>
      <c r="W12">
        <v>2021</v>
      </c>
      <c r="X12">
        <v>18</v>
      </c>
      <c r="Y12">
        <v>1</v>
      </c>
    </row>
    <row r="13" ht="18.5" customHeight="1" spans="1:25">
      <c r="A13" s="10">
        <v>11</v>
      </c>
      <c r="B13" s="14" t="s">
        <v>14</v>
      </c>
      <c r="C13" s="15" t="s">
        <v>15</v>
      </c>
      <c r="D13" s="14">
        <v>11</v>
      </c>
      <c r="E13" s="15">
        <v>5</v>
      </c>
      <c r="F13" s="14">
        <v>2022</v>
      </c>
      <c r="G13" s="15">
        <v>10</v>
      </c>
      <c r="H13" s="16">
        <v>7</v>
      </c>
      <c r="K13">
        <v>4</v>
      </c>
      <c r="U13" s="2" t="s">
        <v>15</v>
      </c>
      <c r="V13" t="s">
        <v>11</v>
      </c>
      <c r="W13">
        <v>2023</v>
      </c>
      <c r="X13">
        <v>16</v>
      </c>
      <c r="Y13">
        <v>1</v>
      </c>
    </row>
    <row r="14" ht="18.5" customHeight="1" spans="1:25">
      <c r="A14" s="10">
        <v>12</v>
      </c>
      <c r="B14" s="14" t="s">
        <v>11</v>
      </c>
      <c r="C14" s="15" t="s">
        <v>16</v>
      </c>
      <c r="D14" s="14">
        <v>16</v>
      </c>
      <c r="E14" s="15">
        <v>1</v>
      </c>
      <c r="F14" s="14">
        <v>2023</v>
      </c>
      <c r="G14" s="15">
        <v>5</v>
      </c>
      <c r="H14" s="16">
        <v>15</v>
      </c>
      <c r="K14">
        <v>5</v>
      </c>
      <c r="M14">
        <f>VAR(K10:K15)</f>
        <v>3.5</v>
      </c>
      <c r="U14" s="2" t="s">
        <v>15</v>
      </c>
      <c r="V14" t="s">
        <v>11</v>
      </c>
      <c r="W14">
        <v>2024</v>
      </c>
      <c r="X14">
        <v>15</v>
      </c>
      <c r="Y14">
        <v>1</v>
      </c>
    </row>
    <row r="15" ht="18.5" customHeight="1" spans="1:25">
      <c r="A15" s="10">
        <v>13</v>
      </c>
      <c r="B15" s="14" t="s">
        <v>11</v>
      </c>
      <c r="C15" s="15" t="s">
        <v>12</v>
      </c>
      <c r="D15" s="14">
        <v>11</v>
      </c>
      <c r="E15" s="15">
        <v>1</v>
      </c>
      <c r="F15" s="14">
        <v>2022</v>
      </c>
      <c r="G15" s="15">
        <v>9</v>
      </c>
      <c r="H15" s="16">
        <v>2</v>
      </c>
      <c r="K15">
        <v>6</v>
      </c>
      <c r="U15" s="2" t="s">
        <v>15</v>
      </c>
      <c r="V15" t="s">
        <v>14</v>
      </c>
      <c r="W15">
        <v>2022</v>
      </c>
      <c r="X15">
        <v>45</v>
      </c>
      <c r="Y15">
        <v>3</v>
      </c>
    </row>
    <row r="16" ht="18.5" customHeight="1" spans="1:25">
      <c r="A16" s="10">
        <v>14</v>
      </c>
      <c r="B16" s="14" t="s">
        <v>11</v>
      </c>
      <c r="C16" s="15" t="s">
        <v>13</v>
      </c>
      <c r="D16" s="14">
        <v>12</v>
      </c>
      <c r="E16" s="15">
        <v>1</v>
      </c>
      <c r="F16" s="14">
        <v>2024</v>
      </c>
      <c r="G16" s="15">
        <v>11</v>
      </c>
      <c r="H16" s="16">
        <v>25</v>
      </c>
      <c r="U16" s="2" t="s">
        <v>15</v>
      </c>
      <c r="V16" t="s">
        <v>14</v>
      </c>
      <c r="W16">
        <v>2023</v>
      </c>
      <c r="X16">
        <v>11</v>
      </c>
      <c r="Y16">
        <v>1</v>
      </c>
    </row>
    <row r="17" ht="18.5" customHeight="1" spans="1:25">
      <c r="A17" s="10">
        <v>15</v>
      </c>
      <c r="B17" s="11" t="s">
        <v>11</v>
      </c>
      <c r="C17" s="12" t="s">
        <v>15</v>
      </c>
      <c r="D17" s="11">
        <v>16</v>
      </c>
      <c r="E17" s="12">
        <v>1</v>
      </c>
      <c r="F17" s="11">
        <v>2023</v>
      </c>
      <c r="G17" s="12">
        <v>8</v>
      </c>
      <c r="H17" s="13">
        <v>22</v>
      </c>
      <c r="U17" s="2" t="s">
        <v>12</v>
      </c>
      <c r="V17" t="s">
        <v>11</v>
      </c>
      <c r="W17">
        <v>2021</v>
      </c>
      <c r="X17">
        <v>18</v>
      </c>
      <c r="Y17">
        <v>1</v>
      </c>
    </row>
    <row r="18" ht="18.5" customHeight="1" spans="1:25">
      <c r="A18" s="10">
        <v>16</v>
      </c>
      <c r="B18" s="11" t="s">
        <v>11</v>
      </c>
      <c r="C18" s="12" t="s">
        <v>16</v>
      </c>
      <c r="D18" s="11">
        <v>16</v>
      </c>
      <c r="E18" s="12">
        <v>1</v>
      </c>
      <c r="F18" s="11">
        <v>2022</v>
      </c>
      <c r="G18" s="12">
        <v>4</v>
      </c>
      <c r="H18" s="13">
        <v>18</v>
      </c>
      <c r="U18" s="2" t="s">
        <v>12</v>
      </c>
      <c r="V18" t="s">
        <v>11</v>
      </c>
      <c r="W18">
        <v>2022</v>
      </c>
      <c r="X18">
        <v>24</v>
      </c>
      <c r="Y18">
        <v>2</v>
      </c>
    </row>
    <row r="19" ht="18.5" customHeight="1" spans="1:25">
      <c r="A19" s="10">
        <v>17</v>
      </c>
      <c r="B19" s="14" t="s">
        <v>14</v>
      </c>
      <c r="C19" s="15" t="s">
        <v>12</v>
      </c>
      <c r="D19" s="14">
        <v>15</v>
      </c>
      <c r="E19" s="15">
        <v>5</v>
      </c>
      <c r="F19" s="14">
        <v>2023</v>
      </c>
      <c r="G19" s="15">
        <v>9</v>
      </c>
      <c r="H19" s="16">
        <v>17</v>
      </c>
      <c r="U19" s="2" t="s">
        <v>12</v>
      </c>
      <c r="V19" t="s">
        <v>11</v>
      </c>
      <c r="W19">
        <v>2023</v>
      </c>
      <c r="X19">
        <v>36</v>
      </c>
      <c r="Y19">
        <v>2</v>
      </c>
    </row>
    <row r="20" ht="18.5" customHeight="1" spans="1:25">
      <c r="A20" s="10">
        <v>18</v>
      </c>
      <c r="B20" s="11" t="s">
        <v>11</v>
      </c>
      <c r="C20" s="12" t="s">
        <v>13</v>
      </c>
      <c r="D20" s="11">
        <v>13</v>
      </c>
      <c r="E20" s="12">
        <v>1</v>
      </c>
      <c r="F20" s="11">
        <v>2023</v>
      </c>
      <c r="G20" s="12">
        <v>4</v>
      </c>
      <c r="H20" s="13">
        <v>28</v>
      </c>
      <c r="U20" s="2" t="s">
        <v>12</v>
      </c>
      <c r="V20" t="s">
        <v>11</v>
      </c>
      <c r="W20">
        <v>2024</v>
      </c>
      <c r="X20">
        <v>11</v>
      </c>
      <c r="Y20">
        <v>1</v>
      </c>
    </row>
    <row r="21" ht="18.5" customHeight="1" spans="1:25">
      <c r="A21" s="10">
        <v>19</v>
      </c>
      <c r="B21" s="11" t="s">
        <v>11</v>
      </c>
      <c r="C21" s="12" t="s">
        <v>15</v>
      </c>
      <c r="D21" s="11">
        <v>18</v>
      </c>
      <c r="E21" s="12">
        <v>1</v>
      </c>
      <c r="F21" s="11">
        <v>2021</v>
      </c>
      <c r="G21" s="12">
        <v>11</v>
      </c>
      <c r="H21" s="13">
        <v>20</v>
      </c>
      <c r="U21" s="2" t="s">
        <v>12</v>
      </c>
      <c r="V21" t="s">
        <v>14</v>
      </c>
      <c r="W21">
        <v>2023</v>
      </c>
      <c r="X21">
        <v>26</v>
      </c>
      <c r="Y21">
        <v>2</v>
      </c>
    </row>
    <row r="22" ht="18.5" customHeight="1" spans="1:8">
      <c r="A22" s="10">
        <v>20</v>
      </c>
      <c r="B22" s="11" t="s">
        <v>11</v>
      </c>
      <c r="C22" s="12" t="s">
        <v>16</v>
      </c>
      <c r="D22" s="11">
        <v>12</v>
      </c>
      <c r="E22" s="12">
        <v>1</v>
      </c>
      <c r="F22" s="11">
        <v>2023</v>
      </c>
      <c r="G22" s="12">
        <v>7</v>
      </c>
      <c r="H22" s="13">
        <v>13</v>
      </c>
    </row>
    <row r="23" ht="18.5" customHeight="1" spans="1:8">
      <c r="A23" s="10">
        <v>21</v>
      </c>
      <c r="B23" s="14" t="s">
        <v>11</v>
      </c>
      <c r="C23" s="15" t="s">
        <v>12</v>
      </c>
      <c r="D23" s="14">
        <v>18</v>
      </c>
      <c r="E23" s="15">
        <v>1</v>
      </c>
      <c r="F23" s="14">
        <v>2021</v>
      </c>
      <c r="G23" s="15">
        <v>1</v>
      </c>
      <c r="H23" s="16">
        <v>23</v>
      </c>
    </row>
    <row r="24" ht="18.5" customHeight="1" spans="1:8">
      <c r="A24" s="10">
        <v>22</v>
      </c>
      <c r="B24" s="11" t="s">
        <v>11</v>
      </c>
      <c r="C24" s="12" t="s">
        <v>13</v>
      </c>
      <c r="D24" s="11">
        <v>16</v>
      </c>
      <c r="E24" s="12">
        <v>1</v>
      </c>
      <c r="F24" s="11">
        <v>2023</v>
      </c>
      <c r="G24" s="12">
        <v>2</v>
      </c>
      <c r="H24" s="13">
        <v>18</v>
      </c>
    </row>
    <row r="25" ht="18.5" customHeight="1" spans="1:8">
      <c r="A25" s="10">
        <v>23</v>
      </c>
      <c r="B25" s="11" t="s">
        <v>14</v>
      </c>
      <c r="C25" s="12" t="s">
        <v>15</v>
      </c>
      <c r="D25" s="11">
        <v>15</v>
      </c>
      <c r="E25" s="12">
        <v>5</v>
      </c>
      <c r="F25" s="11">
        <v>2022</v>
      </c>
      <c r="G25" s="12">
        <v>9</v>
      </c>
      <c r="H25" s="13">
        <v>1</v>
      </c>
    </row>
    <row r="26" ht="18.5" customHeight="1" spans="1:8">
      <c r="A26" s="10">
        <v>24</v>
      </c>
      <c r="B26" s="14" t="s">
        <v>11</v>
      </c>
      <c r="C26" s="15" t="s">
        <v>16</v>
      </c>
      <c r="D26" s="14">
        <v>12</v>
      </c>
      <c r="E26" s="15">
        <v>1</v>
      </c>
      <c r="F26" s="14">
        <v>2023</v>
      </c>
      <c r="G26" s="15">
        <v>2</v>
      </c>
      <c r="H26" s="16">
        <v>21</v>
      </c>
    </row>
    <row r="27" ht="18.5" customHeight="1" spans="1:8">
      <c r="A27" s="10">
        <v>25</v>
      </c>
      <c r="B27" s="11" t="s">
        <v>11</v>
      </c>
      <c r="C27" s="12" t="s">
        <v>12</v>
      </c>
      <c r="D27" s="11">
        <v>17</v>
      </c>
      <c r="E27" s="12">
        <v>1</v>
      </c>
      <c r="F27" s="11">
        <v>2023</v>
      </c>
      <c r="G27" s="12">
        <v>11</v>
      </c>
      <c r="H27" s="13">
        <v>2</v>
      </c>
    </row>
    <row r="28" ht="18.5" customHeight="1" spans="1:8">
      <c r="A28" s="10">
        <v>26</v>
      </c>
      <c r="B28" s="14" t="s">
        <v>11</v>
      </c>
      <c r="C28" s="15" t="s">
        <v>13</v>
      </c>
      <c r="D28" s="14">
        <v>15</v>
      </c>
      <c r="E28" s="15">
        <v>1</v>
      </c>
      <c r="F28" s="14">
        <v>2023</v>
      </c>
      <c r="G28" s="15">
        <v>11</v>
      </c>
      <c r="H28" s="16">
        <v>16</v>
      </c>
    </row>
    <row r="29" ht="18.5" customHeight="1" spans="1:8">
      <c r="A29" s="10">
        <v>27</v>
      </c>
      <c r="B29" s="11" t="s">
        <v>11</v>
      </c>
      <c r="C29" s="12" t="s">
        <v>15</v>
      </c>
      <c r="D29" s="11">
        <v>15</v>
      </c>
      <c r="E29" s="12">
        <v>1</v>
      </c>
      <c r="F29" s="11">
        <v>2024</v>
      </c>
      <c r="G29" s="12">
        <v>10</v>
      </c>
      <c r="H29" s="13">
        <v>23</v>
      </c>
    </row>
    <row r="30" ht="18.5" customHeight="1" spans="1:8">
      <c r="A30" s="10">
        <v>28</v>
      </c>
      <c r="B30" s="11" t="s">
        <v>14</v>
      </c>
      <c r="C30" s="12" t="s">
        <v>16</v>
      </c>
      <c r="D30" s="11">
        <v>11</v>
      </c>
      <c r="E30" s="12">
        <v>5</v>
      </c>
      <c r="F30" s="11">
        <v>2023</v>
      </c>
      <c r="G30" s="12">
        <v>10</v>
      </c>
      <c r="H30" s="13">
        <v>26</v>
      </c>
    </row>
    <row r="31" ht="18.5" customHeight="1" spans="1:8">
      <c r="A31" s="10">
        <v>29</v>
      </c>
      <c r="B31" s="14" t="s">
        <v>14</v>
      </c>
      <c r="C31" s="15" t="s">
        <v>12</v>
      </c>
      <c r="D31" s="14">
        <v>11</v>
      </c>
      <c r="E31" s="15">
        <v>5</v>
      </c>
      <c r="F31" s="14">
        <v>2023</v>
      </c>
      <c r="G31" s="15">
        <v>8</v>
      </c>
      <c r="H31" s="16">
        <v>13</v>
      </c>
    </row>
    <row r="32" ht="18.5" customHeight="1" spans="1:8">
      <c r="A32" s="17">
        <v>30</v>
      </c>
      <c r="B32" s="18" t="s">
        <v>14</v>
      </c>
      <c r="C32" s="19" t="s">
        <v>13</v>
      </c>
      <c r="D32" s="18">
        <v>18</v>
      </c>
      <c r="E32" s="19">
        <v>5</v>
      </c>
      <c r="F32" s="18">
        <v>2022</v>
      </c>
      <c r="G32" s="19">
        <v>11</v>
      </c>
      <c r="H32" s="20">
        <v>16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郑广学老师</cp:lastModifiedBy>
  <dcterms:created xsi:type="dcterms:W3CDTF">2023-10-09T10:31:00Z</dcterms:created>
  <dcterms:modified xsi:type="dcterms:W3CDTF">2024-02-18T14:37:48Z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A87316107E564E8AACE9BC83324845C9_11</vt:lpwstr>
  </property>
  <property fmtid="{D5CDD505-2E9C-101B-9397-08002B2CF9AE}" pid="3" name="KSOProductBuildVer">
    <vt:lpwstr>2052-12.1.0.16250</vt:lpwstr>
  </property>
</Properties>
</file>