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9400" windowHeight="12360" tabRatio="753" activeTab="4"/>
  </bookViews>
  <sheets>
    <sheet name="Sheet1" sheetId="1" r:id="rId1"/>
    <sheet name="Sheet2" sheetId="2" r:id="rId2"/>
    <sheet name="筛选" sheetId="3" r:id="rId3"/>
    <sheet name="去重" sheetId="4" r:id="rId4"/>
    <sheet name="Sheet5" sheetId="5" r:id="rId5"/>
    <sheet name="abcd汇总" sheetId="6" r:id="rId6"/>
    <sheet name="产品国家" sheetId="7" r:id="rId7"/>
    <sheet name="多层透视" sheetId="8" r:id="rId8"/>
    <sheet name="多层透视 (2)" sheetId="10" r:id="rId9"/>
    <sheet name="test" sheetId="9" r:id="rId10"/>
  </sheets>
  <definedNames>
    <definedName name="材料" localSheetId="2">_xlfn.UNIQUE(筛选!XET3:XET23)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<sst xmlns="http://schemas.openxmlformats.org/spreadsheetml/2006/main" count="723" uniqueCount="85">
  <si>
    <t>序号</t>
  </si>
  <si>
    <t>材料名称</t>
  </si>
  <si>
    <t>规格型号</t>
  </si>
  <si>
    <t>单位</t>
  </si>
  <si>
    <t>数量</t>
  </si>
  <si>
    <t>单价</t>
  </si>
  <si>
    <t>金额</t>
  </si>
  <si>
    <t>数据1</t>
  </si>
  <si>
    <t>数据2</t>
  </si>
  <si>
    <t>数据3</t>
  </si>
  <si>
    <t>数据4</t>
  </si>
  <si>
    <t>经手人</t>
  </si>
  <si>
    <t>需求1</t>
  </si>
  <si>
    <t>按材料名称分组求和 求数量, 金额, 数据2, 数据3, 经手人去重列表</t>
  </si>
  <si>
    <t>水表</t>
  </si>
  <si>
    <t>DN50</t>
  </si>
  <si>
    <t>只</t>
  </si>
  <si>
    <t>猪八戒</t>
  </si>
  <si>
    <t>DN25</t>
  </si>
  <si>
    <t>个</t>
  </si>
  <si>
    <t>唐僧</t>
  </si>
  <si>
    <t>开孔器</t>
  </si>
  <si>
    <t>Φ35</t>
  </si>
  <si>
    <t>沙和尚</t>
  </si>
  <si>
    <t>绳卡</t>
  </si>
  <si>
    <t>Φ16</t>
  </si>
  <si>
    <t>16*40</t>
  </si>
  <si>
    <t>孙悟空</t>
  </si>
  <si>
    <t>盒</t>
  </si>
  <si>
    <t>普通螺栓</t>
  </si>
  <si>
    <t>16*70</t>
  </si>
  <si>
    <t>DN40</t>
  </si>
  <si>
    <t>三通</t>
  </si>
  <si>
    <t>DN20</t>
  </si>
  <si>
    <t>件</t>
  </si>
  <si>
    <t>螺栓</t>
  </si>
  <si>
    <t>16*60</t>
  </si>
  <si>
    <t>卡套油管接头</t>
  </si>
  <si>
    <t>槽钢</t>
  </si>
  <si>
    <t>800mm</t>
  </si>
  <si>
    <t>kg</t>
  </si>
  <si>
    <t>暖气片垫圈</t>
  </si>
  <si>
    <t>Φ18</t>
  </si>
  <si>
    <t>需求2</t>
  </si>
  <si>
    <t>按经手人分组求和 求金额,  对应的材料名称去重列表</t>
  </si>
  <si>
    <t>筛选出指定材料名称</t>
  </si>
  <si>
    <t>对经手人去重</t>
  </si>
  <si>
    <t>A</t>
  </si>
  <si>
    <t>B</t>
  </si>
  <si>
    <t>C</t>
  </si>
  <si>
    <t>数据表1</t>
  </si>
  <si>
    <t>查找匹配</t>
  </si>
  <si>
    <t>条件</t>
  </si>
  <si>
    <t>D</t>
  </si>
  <si>
    <t>F</t>
  </si>
  <si>
    <t>产品名称</t>
  </si>
  <si>
    <t>型号</t>
  </si>
  <si>
    <t>大号</t>
  </si>
  <si>
    <t>小号</t>
  </si>
  <si>
    <t>中号</t>
  </si>
  <si>
    <t>行总计</t>
  </si>
  <si>
    <t>ID</t>
  </si>
  <si>
    <t>产品</t>
  </si>
  <si>
    <t>国家</t>
  </si>
  <si>
    <t>价格</t>
  </si>
  <si>
    <t>年</t>
  </si>
  <si>
    <t>月</t>
  </si>
  <si>
    <t>日</t>
  </si>
  <si>
    <t>筛选条件</t>
  </si>
  <si>
    <t>f3=='国家'</t>
  </si>
  <si>
    <t>Product1</t>
  </si>
  <si>
    <t>中国</t>
  </si>
  <si>
    <t>行字段</t>
  </si>
  <si>
    <t>f2,f3</t>
  </si>
  <si>
    <t>Product2</t>
  </si>
  <si>
    <t>usa</t>
  </si>
  <si>
    <t>列字段</t>
  </si>
  <si>
    <t>f6</t>
  </si>
  <si>
    <t>英国</t>
  </si>
  <si>
    <t>求和字段</t>
  </si>
  <si>
    <t>sum('f4'),count()</t>
  </si>
  <si>
    <t>美国</t>
  </si>
  <si>
    <t>德国</t>
  </si>
  <si>
    <t>test</t>
  </si>
  <si>
    <t>x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</si>
</sst>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1"/>
      <color theme="1"/>
      <name val="宋体"/>
      <charset val="134"/>
      <scheme val="minor"/>
    </font>
    <font>
      <b/>
      <sz val="12"/>
      <color theme="1"/>
      <name val="阿里巴巴普惠体 R"/>
      <charset val="134"/>
    </font>
    <font>
      <sz val="12"/>
      <color theme="1"/>
      <name val="阿里巴巴普惠体 R"/>
      <charset val="134"/>
    </font>
    <font>
      <sz val="13"/>
      <color theme="1"/>
      <name val="宋体"/>
      <charset val="134"/>
      <scheme val="minor"/>
    </font>
    <font>
      <b/>
      <sz val="13"/>
      <color theme="0" tint="-0.0499893185216834"/>
      <name val="微软雅黑"/>
      <charset val="134"/>
    </font>
    <font>
      <sz val="13"/>
      <color theme="1"/>
      <name val="微软雅黑"/>
      <charset val="134"/>
    </font>
    <font>
      <sz val="11"/>
      <color theme="1"/>
      <name val="阿里巴巴普惠体 R"/>
      <charset val="134"/>
    </font>
    <font>
      <sz val="12"/>
      <name val="阿里巴巴普惠体 R"/>
      <charset val="134"/>
    </font>
    <font>
      <b/>
      <sz val="11"/>
      <name val="阿里巴巴普惠体 R"/>
      <charset val="134"/>
    </font>
    <font>
      <sz val="11"/>
      <name val="阿里巴巴普惠体 R"/>
      <charset val="134"/>
    </font>
    <font>
      <sz val="12"/>
      <name val="微软雅黑"/>
      <charset val="134"/>
    </font>
    <font>
      <b/>
      <sz val="12"/>
      <color theme="1"/>
      <name val="微软雅黑"/>
      <charset val="134"/>
    </font>
    <font>
      <sz val="12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theme="6" tint="0.799951170384838"/>
        <bgColor indexed="64"/>
      </patternFill>
    </fill>
    <fill>
      <patternFill patternType="solid">
        <fgColor theme="8" tint="0.799951170384838"/>
        <bgColor theme="8" tint="0.799951170384838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theme="4" tint="0.799981688894314"/>
      </patternFill>
    </fill>
    <fill>
      <patternFill patternType="solid">
        <fgColor theme="9" tint="0.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9">
    <border>
      <left/>
      <right/>
      <top/>
      <bottom/>
      <diagonal/>
    </border>
    <border>
      <left style="thin">
        <color theme="8"/>
      </left>
      <right style="thin">
        <color auto="1"/>
      </right>
      <top style="thin">
        <color theme="8"/>
      </top>
      <bottom style="thin">
        <color auto="1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5" borderId="11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9" fillId="0" borderId="12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6" borderId="14" applyNumberFormat="0" applyAlignment="0" applyProtection="0">
      <alignment vertical="center"/>
    </xf>
    <xf numFmtId="0" fontId="22" fillId="17" borderId="15" applyNumberFormat="0" applyAlignment="0" applyProtection="0">
      <alignment vertical="center"/>
    </xf>
    <xf numFmtId="0" fontId="23" fillId="17" borderId="14" applyNumberFormat="0" applyAlignment="0" applyProtection="0">
      <alignment vertical="center"/>
    </xf>
    <xf numFmtId="0" fontId="24" fillId="18" borderId="16" applyNumberFormat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6" fillId="0" borderId="18" applyNumberFormat="0" applyFill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30" fillId="8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4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32" fillId="0" borderId="0">
      <alignment vertical="center"/>
    </xf>
  </cellStyleXfs>
  <cellXfs count="49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3" borderId="2" xfId="0" applyFont="1" applyFill="1" applyBorder="1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righ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4" fillId="4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vertical="center"/>
    </xf>
    <xf numFmtId="0" fontId="5" fillId="5" borderId="8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6" fillId="8" borderId="0" xfId="0" applyFont="1" applyFill="1">
      <alignment vertical="center"/>
    </xf>
    <xf numFmtId="0" fontId="6" fillId="0" borderId="0" xfId="0" applyFont="1" applyAlignment="1">
      <alignment horizontal="center" vertical="center"/>
    </xf>
    <xf numFmtId="0" fontId="7" fillId="0" borderId="0" xfId="49" applyFont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9" fillId="10" borderId="9" xfId="0" applyFont="1" applyFill="1" applyBorder="1" applyAlignment="1">
      <alignment horizontal="center" vertical="center"/>
    </xf>
    <xf numFmtId="0" fontId="1" fillId="11" borderId="10" xfId="49" applyFont="1" applyFill="1" applyBorder="1" applyAlignment="1">
      <alignment horizontal="center" vertical="center"/>
    </xf>
    <xf numFmtId="0" fontId="1" fillId="11" borderId="10" xfId="49" applyFont="1" applyFill="1" applyBorder="1" applyAlignment="1">
      <alignment horizontal="center" vertical="center" wrapText="1"/>
    </xf>
    <xf numFmtId="0" fontId="1" fillId="11" borderId="6" xfId="49" applyFont="1" applyFill="1" applyBorder="1" applyAlignment="1">
      <alignment horizontal="center" vertical="center"/>
    </xf>
    <xf numFmtId="0" fontId="1" fillId="11" borderId="6" xfId="49" applyFont="1" applyFill="1" applyBorder="1" applyAlignment="1">
      <alignment horizontal="center" vertical="center" wrapText="1"/>
    </xf>
    <xf numFmtId="0" fontId="2" fillId="12" borderId="7" xfId="49" applyFont="1" applyFill="1" applyBorder="1" applyAlignment="1">
      <alignment horizontal="center"/>
    </xf>
    <xf numFmtId="0" fontId="2" fillId="12" borderId="7" xfId="49" applyFont="1" applyFill="1" applyBorder="1" applyAlignment="1">
      <alignment horizontal="center" wrapText="1"/>
    </xf>
    <xf numFmtId="0" fontId="2" fillId="0" borderId="7" xfId="49" applyFont="1" applyBorder="1" applyAlignment="1">
      <alignment horizontal="center" vertical="center" wrapText="1"/>
    </xf>
    <xf numFmtId="0" fontId="2" fillId="12" borderId="7" xfId="49" applyFont="1" applyFill="1" applyBorder="1" applyAlignment="1">
      <alignment horizontal="center" vertical="center"/>
    </xf>
    <xf numFmtId="0" fontId="2" fillId="12" borderId="7" xfId="49" applyFont="1" applyFill="1" applyBorder="1" applyAlignment="1">
      <alignment horizontal="center" vertical="center" wrapText="1"/>
    </xf>
    <xf numFmtId="0" fontId="8" fillId="9" borderId="9" xfId="0" applyFont="1" applyFill="1" applyBorder="1">
      <alignment vertical="center"/>
    </xf>
    <xf numFmtId="0" fontId="10" fillId="0" borderId="0" xfId="49" applyFont="1" applyAlignment="1">
      <alignment horizontal="center" vertical="center"/>
    </xf>
    <xf numFmtId="0" fontId="11" fillId="11" borderId="10" xfId="49" applyFont="1" applyFill="1" applyBorder="1" applyAlignment="1">
      <alignment horizontal="center" vertical="center" wrapText="1"/>
    </xf>
    <xf numFmtId="0" fontId="11" fillId="11" borderId="10" xfId="49" applyFont="1" applyFill="1" applyBorder="1" applyAlignment="1">
      <alignment horizontal="center" vertical="center"/>
    </xf>
    <xf numFmtId="0" fontId="0" fillId="13" borderId="0" xfId="0" applyFill="1">
      <alignment vertical="center"/>
    </xf>
    <xf numFmtId="0" fontId="12" fillId="12" borderId="7" xfId="49" applyFont="1" applyFill="1" applyBorder="1" applyAlignment="1">
      <alignment horizontal="center" wrapText="1"/>
    </xf>
    <xf numFmtId="0" fontId="12" fillId="12" borderId="7" xfId="49" applyFont="1" applyFill="1" applyBorder="1" applyAlignment="1">
      <alignment horizontal="center"/>
    </xf>
    <xf numFmtId="0" fontId="12" fillId="0" borderId="7" xfId="49" applyFont="1" applyBorder="1" applyAlignment="1">
      <alignment horizontal="center" vertical="center" wrapText="1"/>
    </xf>
    <xf numFmtId="0" fontId="12" fillId="12" borderId="7" xfId="49" applyFont="1" applyFill="1" applyBorder="1" applyAlignment="1">
      <alignment horizontal="center" vertical="center" wrapText="1"/>
    </xf>
    <xf numFmtId="0" fontId="12" fillId="12" borderId="7" xfId="49" applyFont="1" applyFill="1" applyBorder="1" applyAlignment="1">
      <alignment horizontal="center" vertical="center"/>
    </xf>
    <xf numFmtId="0" fontId="0" fillId="14" borderId="6" xfId="0" applyFill="1" applyBorder="1">
      <alignment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4" xfId="49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openxmlformats.org/officeDocument/2006/relationships/styles" Target="styles.xml"/><Relationship Id="rId14" Type="http://www.wps.cn/officeDocument/2018/jdeExtension" Target="JDEData.bin"/><Relationship Id="rId13" Type="http://schemas.openxmlformats.org/officeDocument/2006/relationships/sheetMetadata" Target="metadata.xml"/><Relationship Id="rId12" Type="http://schemas.openxmlformats.org/officeDocument/2006/relationships/sharedStrings" Target="sharedString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T23"/>
  <sheetViews>
    <sheetView workbookViewId="0">
      <selection activeCell="N4" sqref="N4"/>
    </sheetView>
  </sheetViews>
  <sheetFormatPr defaultColWidth="11.0769230769231" defaultRowHeight="25" customHeight="1"/>
  <cols>
    <col min="1" max="1" width="5.09615384615385" customWidth="1"/>
    <col min="2" max="2" width="13.5192307692308" customWidth="1"/>
    <col min="3" max="3" width="9.30769230769231" customWidth="1"/>
    <col min="4" max="4" width="5.09615384615385" customWidth="1"/>
    <col min="5" max="5" width="5.33653846153846" customWidth="1"/>
    <col min="6" max="7" width="9" customWidth="1"/>
    <col min="8" max="11" width="6.42307692307692" customWidth="1"/>
    <col min="12" max="12" width="7.20192307692308" customWidth="1"/>
    <col min="13" max="13" width="11.0769230769231" customWidth="1"/>
    <col min="14" max="14" width="15.5096153846154" customWidth="1"/>
    <col min="15" max="18" width="9.97115384615385" customWidth="1"/>
    <col min="19" max="19" width="16.0576923076923" customWidth="1"/>
    <col min="20" max="16384" width="11.0769230769231" customWidth="1"/>
  </cols>
  <sheetData>
    <row r="1" customHeight="1" spans="1:20">
      <c r="A1" s="39">
        <v>1</v>
      </c>
      <c r="B1" s="39">
        <v>2</v>
      </c>
      <c r="C1" s="39">
        <v>3</v>
      </c>
      <c r="D1" s="39">
        <v>4</v>
      </c>
      <c r="E1" s="39">
        <v>5</v>
      </c>
      <c r="F1" s="39">
        <v>6</v>
      </c>
      <c r="G1" s="39">
        <v>7</v>
      </c>
      <c r="H1" s="39">
        <v>8</v>
      </c>
      <c r="I1" s="39">
        <v>9</v>
      </c>
      <c r="J1" s="39">
        <v>10</v>
      </c>
      <c r="K1" s="39">
        <v>11</v>
      </c>
      <c r="L1" s="39">
        <v>12</v>
      </c>
    </row>
    <row r="2" ht="59" customHeight="1" spans="1:20">
      <c r="A2" s="40" t="s">
        <v>0</v>
      </c>
      <c r="B2" s="41" t="s">
        <v>1</v>
      </c>
      <c r="C2" s="40" t="s">
        <v>2</v>
      </c>
      <c r="D2" s="40" t="s">
        <v>3</v>
      </c>
      <c r="E2" s="40" t="s">
        <v>4</v>
      </c>
      <c r="F2" s="40" t="s">
        <v>5</v>
      </c>
      <c r="G2" s="40" t="s">
        <v>6</v>
      </c>
      <c r="H2" s="40" t="s">
        <v>7</v>
      </c>
      <c r="I2" s="40" t="s">
        <v>8</v>
      </c>
      <c r="J2" s="40" t="s">
        <v>9</v>
      </c>
      <c r="K2" s="40" t="s">
        <v>10</v>
      </c>
      <c r="L2" s="40" t="s">
        <v>11</v>
      </c>
      <c r="N2" s="42" t="s">
        <v>12</v>
      </c>
      <c r="O2" s="42" t="s">
        <v>13</v>
      </c>
      <c r="P2" s="42"/>
      <c r="Q2" s="42"/>
      <c r="R2" s="42"/>
      <c r="S2" s="42"/>
      <c r="T2" s="42"/>
    </row>
    <row r="3" customHeight="1" spans="1:20">
      <c r="A3" s="43">
        <v>1</v>
      </c>
      <c r="B3" s="44" t="s">
        <v>14</v>
      </c>
      <c r="C3" s="43" t="s">
        <v>15</v>
      </c>
      <c r="D3" s="43" t="s">
        <v>16</v>
      </c>
      <c r="E3" s="43">
        <v>1</v>
      </c>
      <c r="F3" s="43">
        <v>107.69</v>
      </c>
      <c r="G3" s="43">
        <f t="shared" ref="G3:G23" si="0">E3*F3</f>
        <v>107.69</v>
      </c>
      <c r="H3" s="43"/>
      <c r="I3" s="43">
        <v>41</v>
      </c>
      <c r="J3" s="43">
        <v>49</v>
      </c>
      <c r="K3" s="43">
        <v>10</v>
      </c>
      <c r="L3" s="43" t="s">
        <v>17</v>
      </c>
      <c r="N3" s="48" t="str" cm="1">
        <f t="array" ref="N3:S12">jsaLambda("$$.superPivot",A2:L23,{"f2"},{""},{"sum(`f5`),sum(`f7`),sum(`f9`),sum(`f10`),textjoin(`f12`)","数量1求和,金额求和,数据2求和,数据3求和,经手人"})</f>
        <v>材料名称</v>
      </c>
      <c r="O3" t="str">
        <v>数量1求和</v>
      </c>
      <c r="P3" t="str">
        <v>金额求和</v>
      </c>
      <c r="Q3" t="str">
        <v>数据2求和</v>
      </c>
      <c r="R3" t="str">
        <v>数据3求和</v>
      </c>
      <c r="S3" t="str">
        <v>经手人</v>
      </c>
    </row>
    <row r="4" customHeight="1" spans="1:20">
      <c r="A4" s="45">
        <v>2</v>
      </c>
      <c r="B4" s="45" t="s">
        <v>14</v>
      </c>
      <c r="C4" s="45" t="s">
        <v>18</v>
      </c>
      <c r="D4" s="45" t="s">
        <v>19</v>
      </c>
      <c r="E4" s="45">
        <v>16</v>
      </c>
      <c r="F4" s="45">
        <v>15</v>
      </c>
      <c r="G4" s="45">
        <f t="shared" si="0"/>
        <v>240</v>
      </c>
      <c r="H4" s="45"/>
      <c r="I4" s="45">
        <v>23</v>
      </c>
      <c r="J4" s="45">
        <v>22</v>
      </c>
      <c r="K4" s="45">
        <v>43</v>
      </c>
      <c r="L4" s="45" t="s">
        <v>20</v>
      </c>
      <c r="N4" t="str">
        <v>三通</v>
      </c>
      <c r="O4">
        <v>4</v>
      </c>
      <c r="P4">
        <v>20</v>
      </c>
      <c r="Q4">
        <v>45</v>
      </c>
      <c r="R4">
        <v>32</v>
      </c>
      <c r="S4" t="str">
        <v>孙悟空,沙和尚</v>
      </c>
    </row>
    <row r="5" customHeight="1" spans="1:20">
      <c r="A5" s="46">
        <v>3</v>
      </c>
      <c r="B5" s="47" t="s">
        <v>21</v>
      </c>
      <c r="C5" s="46" t="s">
        <v>22</v>
      </c>
      <c r="D5" s="46" t="s">
        <v>19</v>
      </c>
      <c r="E5" s="46">
        <v>2</v>
      </c>
      <c r="F5" s="46">
        <v>11.11</v>
      </c>
      <c r="G5" s="46">
        <f t="shared" si="0"/>
        <v>22.22</v>
      </c>
      <c r="H5" s="46"/>
      <c r="I5" s="46">
        <v>7</v>
      </c>
      <c r="J5" s="46">
        <v>19</v>
      </c>
      <c r="K5" s="46">
        <v>50</v>
      </c>
      <c r="L5" s="46" t="s">
        <v>23</v>
      </c>
      <c r="N5" t="str">
        <v>卡套油管接头</v>
      </c>
      <c r="O5">
        <v>31</v>
      </c>
      <c r="P5">
        <v>155</v>
      </c>
      <c r="Q5">
        <v>23</v>
      </c>
      <c r="R5">
        <v>63</v>
      </c>
      <c r="S5" t="str">
        <v>孙悟空,唐僧</v>
      </c>
    </row>
    <row r="6" customHeight="1" spans="1:20">
      <c r="A6" s="45">
        <v>6</v>
      </c>
      <c r="B6" s="45" t="s">
        <v>24</v>
      </c>
      <c r="C6" s="45" t="s">
        <v>25</v>
      </c>
      <c r="D6" s="45" t="s">
        <v>19</v>
      </c>
      <c r="E6" s="45">
        <v>16</v>
      </c>
      <c r="F6" s="45">
        <v>15</v>
      </c>
      <c r="G6" s="45">
        <f t="shared" si="0"/>
        <v>240</v>
      </c>
      <c r="H6" s="45"/>
      <c r="I6" s="45">
        <v>2</v>
      </c>
      <c r="J6" s="45">
        <v>33</v>
      </c>
      <c r="K6" s="45">
        <v>48</v>
      </c>
      <c r="L6" s="45" t="s">
        <v>17</v>
      </c>
      <c r="N6" t="str">
        <v>开孔器</v>
      </c>
      <c r="O6">
        <v>14</v>
      </c>
      <c r="P6">
        <v>155.54</v>
      </c>
      <c r="Q6">
        <v>37</v>
      </c>
      <c r="R6">
        <v>32</v>
      </c>
      <c r="S6" t="str">
        <v>沙和尚,猪八戒</v>
      </c>
    </row>
    <row r="7" customHeight="1" spans="1:20">
      <c r="A7" s="46">
        <v>7</v>
      </c>
      <c r="B7" s="47" t="s">
        <v>24</v>
      </c>
      <c r="C7" s="46" t="s">
        <v>26</v>
      </c>
      <c r="D7" s="46" t="s">
        <v>19</v>
      </c>
      <c r="E7" s="46">
        <v>30</v>
      </c>
      <c r="F7" s="46">
        <v>4</v>
      </c>
      <c r="G7" s="46">
        <f t="shared" si="0"/>
        <v>120</v>
      </c>
      <c r="H7" s="46"/>
      <c r="I7" s="46">
        <v>44</v>
      </c>
      <c r="J7" s="46">
        <v>37</v>
      </c>
      <c r="K7" s="46">
        <v>9</v>
      </c>
      <c r="L7" s="46" t="s">
        <v>27</v>
      </c>
      <c r="N7" s="13" t="str">
        <v>普通螺栓</v>
      </c>
      <c r="O7" s="13">
        <v>16</v>
      </c>
      <c r="P7" s="13">
        <v>11.71</v>
      </c>
      <c r="Q7" s="13">
        <v>65</v>
      </c>
      <c r="R7" s="13">
        <v>111</v>
      </c>
      <c r="S7" s="13" t="str">
        <v>孙悟空,沙和尚,沙和尚</v>
      </c>
    </row>
    <row r="8" customHeight="1" spans="1:20">
      <c r="A8" s="45">
        <v>8</v>
      </c>
      <c r="B8" s="45" t="s">
        <v>24</v>
      </c>
      <c r="C8" s="45" t="s">
        <v>26</v>
      </c>
      <c r="D8" s="45" t="s">
        <v>28</v>
      </c>
      <c r="E8" s="45">
        <v>1</v>
      </c>
      <c r="F8" s="45">
        <v>40</v>
      </c>
      <c r="G8" s="45">
        <f t="shared" si="0"/>
        <v>40</v>
      </c>
      <c r="H8" s="45"/>
      <c r="I8" s="45">
        <v>14</v>
      </c>
      <c r="J8" s="45">
        <v>48</v>
      </c>
      <c r="K8" s="45">
        <v>50</v>
      </c>
      <c r="L8" s="45" t="s">
        <v>17</v>
      </c>
      <c r="N8" s="13" t="str">
        <v>暖气片垫圈</v>
      </c>
      <c r="O8" s="13">
        <v>16</v>
      </c>
      <c r="P8" s="13">
        <v>0.16</v>
      </c>
      <c r="Q8" s="13">
        <v>2</v>
      </c>
      <c r="R8" s="13">
        <v>5</v>
      </c>
      <c r="S8" s="13" t="str">
        <v>孙悟空</v>
      </c>
    </row>
    <row r="9" customHeight="1" spans="1:20">
      <c r="A9" s="46">
        <v>9</v>
      </c>
      <c r="B9" s="47" t="s">
        <v>29</v>
      </c>
      <c r="C9" s="46" t="s">
        <v>30</v>
      </c>
      <c r="D9" s="46" t="s">
        <v>19</v>
      </c>
      <c r="E9" s="46">
        <v>12</v>
      </c>
      <c r="F9" s="46">
        <v>0.94</v>
      </c>
      <c r="G9" s="46">
        <f t="shared" si="0"/>
        <v>11.28</v>
      </c>
      <c r="H9" s="46"/>
      <c r="I9" s="46">
        <v>28</v>
      </c>
      <c r="J9" s="46">
        <v>26</v>
      </c>
      <c r="K9" s="46">
        <v>35</v>
      </c>
      <c r="L9" s="46" t="s">
        <v>27</v>
      </c>
      <c r="N9" s="13" t="str">
        <v>槽钢</v>
      </c>
      <c r="O9" s="13">
        <v>904</v>
      </c>
      <c r="P9" s="13">
        <v>4483.84</v>
      </c>
      <c r="Q9" s="13">
        <v>46</v>
      </c>
      <c r="R9" s="13">
        <v>35</v>
      </c>
      <c r="S9" s="13" t="str">
        <v>唐僧,猪八戒</v>
      </c>
    </row>
    <row r="10" customHeight="1" spans="1:20">
      <c r="A10" s="45">
        <v>11</v>
      </c>
      <c r="B10" s="45" t="s">
        <v>29</v>
      </c>
      <c r="C10" s="45" t="s">
        <v>31</v>
      </c>
      <c r="D10" s="45" t="s">
        <v>19</v>
      </c>
      <c r="E10" s="45">
        <v>3</v>
      </c>
      <c r="F10" s="45">
        <v>0.01</v>
      </c>
      <c r="G10" s="45">
        <f t="shared" si="0"/>
        <v>0.03</v>
      </c>
      <c r="H10" s="45"/>
      <c r="I10" s="45">
        <v>17</v>
      </c>
      <c r="J10" s="45">
        <v>35</v>
      </c>
      <c r="K10" s="45">
        <v>38</v>
      </c>
      <c r="L10" s="45" t="s">
        <v>23</v>
      </c>
      <c r="N10" s="13" t="str">
        <v>水表</v>
      </c>
      <c r="O10" s="13">
        <v>18</v>
      </c>
      <c r="P10" s="13">
        <v>455.38</v>
      </c>
      <c r="Q10" s="13">
        <v>114</v>
      </c>
      <c r="R10" s="13">
        <v>121</v>
      </c>
      <c r="S10" s="13" t="str">
        <v>猪八戒,唐僧,猪八戒</v>
      </c>
    </row>
    <row r="11" customHeight="1" spans="1:20">
      <c r="A11" s="46">
        <v>12</v>
      </c>
      <c r="B11" s="47" t="s">
        <v>32</v>
      </c>
      <c r="C11" s="46" t="s">
        <v>33</v>
      </c>
      <c r="D11" s="46" t="s">
        <v>34</v>
      </c>
      <c r="E11" s="46">
        <v>1</v>
      </c>
      <c r="F11" s="46">
        <v>5</v>
      </c>
      <c r="G11" s="46">
        <f t="shared" si="0"/>
        <v>5</v>
      </c>
      <c r="H11" s="46"/>
      <c r="I11" s="46">
        <v>7</v>
      </c>
      <c r="J11" s="46">
        <v>27</v>
      </c>
      <c r="K11" s="46">
        <v>18</v>
      </c>
      <c r="L11" s="46" t="s">
        <v>27</v>
      </c>
      <c r="N11" s="13" t="str">
        <v>绳卡</v>
      </c>
      <c r="O11" s="13">
        <v>48</v>
      </c>
      <c r="P11" s="13">
        <v>415</v>
      </c>
      <c r="Q11" s="13">
        <v>63</v>
      </c>
      <c r="R11" s="13">
        <v>124</v>
      </c>
      <c r="S11" s="13" t="str">
        <v>猪八戒,孙悟空,猪八戒,孙悟空</v>
      </c>
    </row>
    <row r="12" customHeight="1" spans="1:20">
      <c r="A12" s="45">
        <v>13</v>
      </c>
      <c r="B12" s="45" t="s">
        <v>35</v>
      </c>
      <c r="C12" s="45" t="s">
        <v>36</v>
      </c>
      <c r="D12" s="45" t="s">
        <v>19</v>
      </c>
      <c r="E12" s="45">
        <v>300</v>
      </c>
      <c r="F12" s="45">
        <v>0.53</v>
      </c>
      <c r="G12" s="45">
        <f t="shared" si="0"/>
        <v>159</v>
      </c>
      <c r="H12" s="45"/>
      <c r="I12" s="45">
        <v>34</v>
      </c>
      <c r="J12" s="45">
        <v>43</v>
      </c>
      <c r="K12" s="45">
        <v>9</v>
      </c>
      <c r="L12" s="45" t="s">
        <v>20</v>
      </c>
      <c r="N12" s="13" t="str">
        <v>螺栓</v>
      </c>
      <c r="O12" s="13">
        <v>312</v>
      </c>
      <c r="P12" s="13">
        <v>165.36</v>
      </c>
      <c r="Q12" s="13">
        <v>41</v>
      </c>
      <c r="R12" s="13">
        <v>58</v>
      </c>
      <c r="S12" s="13" t="str">
        <v>唐僧,唐僧</v>
      </c>
    </row>
    <row r="13" customHeight="1" spans="1:20">
      <c r="A13" s="46">
        <v>15</v>
      </c>
      <c r="B13" s="47" t="s">
        <v>14</v>
      </c>
      <c r="C13" s="46" t="s">
        <v>15</v>
      </c>
      <c r="D13" s="46" t="s">
        <v>16</v>
      </c>
      <c r="E13" s="46">
        <v>1</v>
      </c>
      <c r="F13" s="46">
        <v>107.69</v>
      </c>
      <c r="G13" s="46">
        <f t="shared" si="0"/>
        <v>107.69</v>
      </c>
      <c r="H13" s="46"/>
      <c r="I13" s="46">
        <v>50</v>
      </c>
      <c r="J13" s="46">
        <v>50</v>
      </c>
      <c r="K13" s="46">
        <v>8</v>
      </c>
      <c r="L13" s="46" t="s">
        <v>17</v>
      </c>
    </row>
    <row r="14" customHeight="1" spans="1:20">
      <c r="A14" s="45">
        <v>16</v>
      </c>
      <c r="B14" s="45" t="s">
        <v>37</v>
      </c>
      <c r="C14" s="45">
        <v>12</v>
      </c>
      <c r="D14" s="45" t="s">
        <v>19</v>
      </c>
      <c r="E14" s="45">
        <v>1</v>
      </c>
      <c r="F14" s="45">
        <v>5</v>
      </c>
      <c r="G14" s="45">
        <f t="shared" si="0"/>
        <v>5</v>
      </c>
      <c r="H14" s="45"/>
      <c r="I14" s="45">
        <v>18</v>
      </c>
      <c r="J14" s="45">
        <v>30</v>
      </c>
      <c r="K14" s="45">
        <v>41</v>
      </c>
      <c r="L14" s="45" t="s">
        <v>27</v>
      </c>
    </row>
    <row r="15" customHeight="1" spans="1:20">
      <c r="A15" s="46">
        <v>17</v>
      </c>
      <c r="B15" s="47" t="s">
        <v>38</v>
      </c>
      <c r="C15" s="46" t="s">
        <v>39</v>
      </c>
      <c r="D15" s="46" t="s">
        <v>40</v>
      </c>
      <c r="E15" s="46">
        <v>900</v>
      </c>
      <c r="F15" s="46">
        <v>4.96</v>
      </c>
      <c r="G15" s="46">
        <f t="shared" si="0"/>
        <v>4464</v>
      </c>
      <c r="H15" s="46"/>
      <c r="I15" s="46">
        <v>32</v>
      </c>
      <c r="J15" s="46">
        <v>7</v>
      </c>
      <c r="K15" s="46">
        <v>24</v>
      </c>
      <c r="L15" s="46" t="s">
        <v>20</v>
      </c>
    </row>
    <row r="16" customHeight="1" spans="1:20">
      <c r="A16" s="45">
        <f t="shared" ref="A16:A23" si="1">A15+1</f>
        <v>18</v>
      </c>
      <c r="B16" s="45" t="s">
        <v>37</v>
      </c>
      <c r="C16" s="45">
        <v>12</v>
      </c>
      <c r="D16" s="45" t="s">
        <v>19</v>
      </c>
      <c r="E16" s="45">
        <v>30</v>
      </c>
      <c r="F16" s="45">
        <v>5</v>
      </c>
      <c r="G16" s="45">
        <f t="shared" si="0"/>
        <v>150</v>
      </c>
      <c r="H16" s="45"/>
      <c r="I16" s="45">
        <v>5</v>
      </c>
      <c r="J16" s="45">
        <v>33</v>
      </c>
      <c r="K16" s="45">
        <v>30</v>
      </c>
      <c r="L16" s="45" t="s">
        <v>20</v>
      </c>
    </row>
    <row r="17" customHeight="1" spans="1:12">
      <c r="A17" s="46">
        <f t="shared" si="1"/>
        <v>19</v>
      </c>
      <c r="B17" s="47" t="s">
        <v>29</v>
      </c>
      <c r="C17" s="46" t="s">
        <v>26</v>
      </c>
      <c r="D17" s="46" t="s">
        <v>19</v>
      </c>
      <c r="E17" s="46">
        <v>1</v>
      </c>
      <c r="F17" s="46">
        <v>0.4</v>
      </c>
      <c r="G17" s="46">
        <f t="shared" si="0"/>
        <v>0.4</v>
      </c>
      <c r="H17" s="46"/>
      <c r="I17" s="46">
        <v>20</v>
      </c>
      <c r="J17" s="46">
        <v>50</v>
      </c>
      <c r="K17" s="46">
        <v>17</v>
      </c>
      <c r="L17" s="46" t="s">
        <v>23</v>
      </c>
    </row>
    <row r="18" customHeight="1" spans="1:12">
      <c r="A18" s="45">
        <f t="shared" si="1"/>
        <v>20</v>
      </c>
      <c r="B18" s="45" t="s">
        <v>38</v>
      </c>
      <c r="C18" s="45" t="s">
        <v>39</v>
      </c>
      <c r="D18" s="45" t="s">
        <v>40</v>
      </c>
      <c r="E18" s="45">
        <v>4</v>
      </c>
      <c r="F18" s="45">
        <v>4.96</v>
      </c>
      <c r="G18" s="45">
        <f t="shared" si="0"/>
        <v>19.84</v>
      </c>
      <c r="H18" s="45"/>
      <c r="I18" s="45">
        <v>14</v>
      </c>
      <c r="J18" s="45">
        <v>28</v>
      </c>
      <c r="K18" s="45">
        <v>47</v>
      </c>
      <c r="L18" s="45" t="s">
        <v>17</v>
      </c>
    </row>
    <row r="19" customHeight="1" spans="1:12">
      <c r="A19" s="46">
        <f t="shared" si="1"/>
        <v>21</v>
      </c>
      <c r="B19" s="47" t="s">
        <v>21</v>
      </c>
      <c r="C19" s="46" t="s">
        <v>22</v>
      </c>
      <c r="D19" s="46" t="s">
        <v>19</v>
      </c>
      <c r="E19" s="46">
        <v>12</v>
      </c>
      <c r="F19" s="46">
        <v>11.11</v>
      </c>
      <c r="G19" s="46">
        <f t="shared" si="0"/>
        <v>133.32</v>
      </c>
      <c r="H19" s="46">
        <v>3</v>
      </c>
      <c r="I19" s="46">
        <v>30</v>
      </c>
      <c r="J19" s="46">
        <v>13</v>
      </c>
      <c r="K19" s="46">
        <v>44</v>
      </c>
      <c r="L19" s="46" t="s">
        <v>17</v>
      </c>
    </row>
    <row r="20" customHeight="1" spans="1:12">
      <c r="A20" s="45">
        <f t="shared" si="1"/>
        <v>22</v>
      </c>
      <c r="B20" s="45" t="s">
        <v>41</v>
      </c>
      <c r="C20" s="45" t="s">
        <v>31</v>
      </c>
      <c r="D20" s="45" t="s">
        <v>19</v>
      </c>
      <c r="E20" s="45">
        <v>16</v>
      </c>
      <c r="F20" s="45">
        <v>0.01</v>
      </c>
      <c r="G20" s="45">
        <f t="shared" si="0"/>
        <v>0.16</v>
      </c>
      <c r="H20" s="45">
        <v>36</v>
      </c>
      <c r="I20" s="45">
        <v>2</v>
      </c>
      <c r="J20" s="45">
        <v>5</v>
      </c>
      <c r="K20" s="45">
        <v>28</v>
      </c>
      <c r="L20" s="45" t="s">
        <v>27</v>
      </c>
    </row>
    <row r="21" customHeight="1" spans="1:12">
      <c r="A21" s="46">
        <f t="shared" si="1"/>
        <v>23</v>
      </c>
      <c r="B21" s="47" t="s">
        <v>24</v>
      </c>
      <c r="C21" s="46" t="s">
        <v>42</v>
      </c>
      <c r="D21" s="46" t="s">
        <v>19</v>
      </c>
      <c r="E21" s="46">
        <v>1</v>
      </c>
      <c r="F21" s="46">
        <v>15</v>
      </c>
      <c r="G21" s="46">
        <f t="shared" si="0"/>
        <v>15</v>
      </c>
      <c r="H21" s="46">
        <v>49</v>
      </c>
      <c r="I21" s="46">
        <v>3</v>
      </c>
      <c r="J21" s="46">
        <v>6</v>
      </c>
      <c r="K21" s="46">
        <v>26</v>
      </c>
      <c r="L21" s="46" t="s">
        <v>27</v>
      </c>
    </row>
    <row r="22" customHeight="1" spans="1:12">
      <c r="A22" s="45">
        <f t="shared" si="1"/>
        <v>24</v>
      </c>
      <c r="B22" s="45" t="s">
        <v>35</v>
      </c>
      <c r="C22" s="45" t="s">
        <v>36</v>
      </c>
      <c r="D22" s="45" t="s">
        <v>19</v>
      </c>
      <c r="E22" s="45">
        <v>12</v>
      </c>
      <c r="F22" s="45">
        <v>0.53</v>
      </c>
      <c r="G22" s="45">
        <f t="shared" si="0"/>
        <v>6.36</v>
      </c>
      <c r="H22" s="45">
        <v>40</v>
      </c>
      <c r="I22" s="45">
        <v>7</v>
      </c>
      <c r="J22" s="45">
        <v>15</v>
      </c>
      <c r="K22" s="45">
        <v>40</v>
      </c>
      <c r="L22" s="45" t="s">
        <v>20</v>
      </c>
    </row>
    <row r="23" customHeight="1" spans="1:12">
      <c r="A23" s="46">
        <f t="shared" si="1"/>
        <v>25</v>
      </c>
      <c r="B23" s="47" t="s">
        <v>32</v>
      </c>
      <c r="C23" s="46" t="s">
        <v>33</v>
      </c>
      <c r="D23" s="46" t="s">
        <v>34</v>
      </c>
      <c r="E23" s="46">
        <v>3</v>
      </c>
      <c r="F23" s="46">
        <v>5</v>
      </c>
      <c r="G23" s="46">
        <f t="shared" si="0"/>
        <v>15</v>
      </c>
      <c r="H23" s="46">
        <v>19</v>
      </c>
      <c r="I23" s="46">
        <v>38</v>
      </c>
      <c r="J23" s="46">
        <v>5</v>
      </c>
      <c r="K23" s="46">
        <v>43</v>
      </c>
      <c r="L23" s="46" t="s">
        <v>23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G41"/>
  <sheetViews>
    <sheetView workbookViewId="0">
      <selection activeCell="N4" sqref="N4"/>
    </sheetView>
  </sheetViews>
  <sheetFormatPr defaultColWidth="11.0769230769231" defaultRowHeight="25" customHeight="1"/>
  <cols>
    <col min="1" max="1" width="5.09615384615385" customWidth="1"/>
    <col min="2" max="2" width="13.5192307692308" customWidth="1"/>
    <col min="3" max="3" width="9.30769230769231" customWidth="1"/>
    <col min="4" max="4" width="5.09615384615385" customWidth="1"/>
    <col min="5" max="5" width="5.33653846153846" customWidth="1"/>
    <col min="6" max="7" width="9" customWidth="1"/>
    <col min="8" max="11" width="6.42307692307692" customWidth="1"/>
    <col min="12" max="12" width="7.20192307692308" customWidth="1"/>
    <col min="13" max="13" width="11.0769230769231" customWidth="1"/>
    <col min="14" max="14" width="15.5096153846154" customWidth="1"/>
    <col min="15" max="15" width="11.0769230769231" customWidth="1"/>
    <col min="16" max="16" width="12.1826923076923" customWidth="1"/>
    <col min="17" max="17" width="11.0769230769231" customWidth="1"/>
    <col min="18" max="18" width="13.3942307692308" customWidth="1"/>
    <col min="19" max="19" width="19.0576923076923" customWidth="1"/>
    <col min="20" max="16384" width="11.0769230769231" customWidth="1"/>
  </cols>
  <sheetData>
    <row r="1" customFormat="1" customHeight="1" spans="1:33">
      <c r="A1" s="39">
        <v>1</v>
      </c>
      <c r="B1" s="39">
        <v>2</v>
      </c>
      <c r="C1" s="39">
        <v>3</v>
      </c>
      <c r="D1" s="39">
        <v>4</v>
      </c>
      <c r="E1" s="39">
        <v>5</v>
      </c>
      <c r="F1" s="39">
        <v>6</v>
      </c>
      <c r="G1" s="39">
        <v>7</v>
      </c>
      <c r="H1" s="39">
        <v>8</v>
      </c>
      <c r="I1" s="39">
        <v>9</v>
      </c>
      <c r="J1" s="39">
        <v>10</v>
      </c>
      <c r="K1" s="39">
        <v>11</v>
      </c>
      <c r="L1" s="39">
        <v>12</v>
      </c>
    </row>
    <row r="2" customFormat="1" customHeight="1" spans="1:33">
      <c r="A2" s="40" t="s">
        <v>0</v>
      </c>
      <c r="B2" s="41" t="s">
        <v>1</v>
      </c>
      <c r="C2" s="40" t="s">
        <v>2</v>
      </c>
      <c r="D2" s="40" t="s">
        <v>3</v>
      </c>
      <c r="E2" s="40" t="s">
        <v>4</v>
      </c>
      <c r="F2" s="40" t="s">
        <v>5</v>
      </c>
      <c r="G2" s="40" t="s">
        <v>6</v>
      </c>
      <c r="H2" s="40" t="s">
        <v>7</v>
      </c>
      <c r="I2" s="40" t="s">
        <v>8</v>
      </c>
      <c r="J2" s="40" t="s">
        <v>9</v>
      </c>
      <c r="K2" s="40" t="s">
        <v>10</v>
      </c>
      <c r="L2" s="40" t="s">
        <v>11</v>
      </c>
      <c r="N2" s="42" t="s">
        <v>43</v>
      </c>
      <c r="O2" s="42" t="s">
        <v>44</v>
      </c>
      <c r="P2" s="42"/>
      <c r="Q2" s="42"/>
      <c r="R2" s="42"/>
      <c r="S2" s="42"/>
      <c r="T2" s="42"/>
      <c r="V2" cm="1">
        <f t="array" ref="V2:AG10">k("arr =&gt; arr.filter(x =&gt; x.f7 &gt; 100)",A2:L23)</f>
        <v>1</v>
      </c>
      <c r="W2" t="str">
        <v>水表</v>
      </c>
      <c r="X2" t="str">
        <v>DN50</v>
      </c>
      <c r="Y2" t="str">
        <v>只</v>
      </c>
      <c r="Z2">
        <v>1</v>
      </c>
      <c r="AA2">
        <v>107.69</v>
      </c>
      <c r="AB2">
        <v>107.69</v>
      </c>
      <c r="AC2">
        <v>0</v>
      </c>
      <c r="AD2">
        <v>41</v>
      </c>
      <c r="AE2">
        <v>49</v>
      </c>
      <c r="AF2">
        <v>10</v>
      </c>
      <c r="AG2" t="str">
        <v>猪八戒</v>
      </c>
    </row>
    <row r="3" customFormat="1" customHeight="1" spans="1:33">
      <c r="A3" s="43">
        <v>1</v>
      </c>
      <c r="B3" s="44" t="s">
        <v>14</v>
      </c>
      <c r="C3" s="43" t="s">
        <v>15</v>
      </c>
      <c r="D3" s="43" t="s">
        <v>16</v>
      </c>
      <c r="E3" s="43">
        <v>1</v>
      </c>
      <c r="F3" s="43">
        <v>107.69</v>
      </c>
      <c r="G3" s="43">
        <f t="shared" ref="G3:G23" si="0">E3*F3</f>
        <v>107.69</v>
      </c>
      <c r="H3" s="43"/>
      <c r="I3" s="43">
        <v>41</v>
      </c>
      <c r="J3" s="43">
        <v>49</v>
      </c>
      <c r="K3" s="43">
        <v>10</v>
      </c>
      <c r="L3" s="43" t="s">
        <v>17</v>
      </c>
      <c r="N3" s="13" t="str" cm="1">
        <f t="array" ref="N3:R13">jsaLambda("$$.superPivot",A2:L23,{"f2"},{"f12"},{"sum(`f7`)","金额求和"})</f>
        <v>经手人</v>
      </c>
      <c r="O3" s="13" t="str">
        <v>唐僧</v>
      </c>
      <c r="P3" s="13" t="str">
        <v>孙悟空</v>
      </c>
      <c r="Q3" s="13" t="str">
        <v>沙和尚</v>
      </c>
      <c r="R3" s="13" t="str">
        <v>猪八戒</v>
      </c>
      <c r="V3">
        <v>2</v>
      </c>
      <c r="W3" t="str">
        <v>水表</v>
      </c>
      <c r="X3" t="str">
        <v>DN25</v>
      </c>
      <c r="Y3" t="str">
        <v>个</v>
      </c>
      <c r="Z3">
        <v>16</v>
      </c>
      <c r="AA3">
        <v>15</v>
      </c>
      <c r="AB3">
        <v>240</v>
      </c>
      <c r="AC3">
        <v>0</v>
      </c>
      <c r="AD3">
        <v>23</v>
      </c>
      <c r="AE3">
        <v>22</v>
      </c>
      <c r="AF3">
        <v>43</v>
      </c>
      <c r="AG3" t="str">
        <v>唐僧</v>
      </c>
    </row>
    <row r="4" customHeight="1" spans="1:33">
      <c r="A4" s="45">
        <v>2</v>
      </c>
      <c r="B4" s="45" t="s">
        <v>14</v>
      </c>
      <c r="C4" s="45" t="s">
        <v>18</v>
      </c>
      <c r="D4" s="45" t="s">
        <v>19</v>
      </c>
      <c r="E4" s="45">
        <v>16</v>
      </c>
      <c r="F4" s="45">
        <v>15</v>
      </c>
      <c r="G4" s="45">
        <f t="shared" si="0"/>
        <v>240</v>
      </c>
      <c r="H4" s="45"/>
      <c r="I4" s="45">
        <v>23</v>
      </c>
      <c r="J4" s="45">
        <v>22</v>
      </c>
      <c r="K4" s="45">
        <v>43</v>
      </c>
      <c r="L4" s="45" t="s">
        <v>20</v>
      </c>
      <c r="N4" s="13" t="str">
        <v>材料名称</v>
      </c>
      <c r="O4" s="13" t="str">
        <v>金额求和</v>
      </c>
      <c r="P4" s="13" t="str">
        <v>金额求和</v>
      </c>
      <c r="Q4" s="13" t="str">
        <v>金额求和</v>
      </c>
      <c r="R4" s="13" t="str">
        <v>金额求和</v>
      </c>
      <c r="V4">
        <v>6</v>
      </c>
      <c r="W4" t="str">
        <v>绳卡</v>
      </c>
      <c r="X4" t="str">
        <v>Φ16</v>
      </c>
      <c r="Y4" t="str">
        <v>个</v>
      </c>
      <c r="Z4">
        <v>16</v>
      </c>
      <c r="AA4">
        <v>15</v>
      </c>
      <c r="AB4">
        <v>240</v>
      </c>
      <c r="AC4">
        <v>0</v>
      </c>
      <c r="AD4">
        <v>2</v>
      </c>
      <c r="AE4">
        <v>33</v>
      </c>
      <c r="AF4">
        <v>48</v>
      </c>
      <c r="AG4" t="str">
        <v>猪八戒</v>
      </c>
    </row>
    <row r="5" customHeight="1" spans="1:33">
      <c r="A5" s="46">
        <v>3</v>
      </c>
      <c r="B5" s="47" t="s">
        <v>21</v>
      </c>
      <c r="C5" s="46" t="s">
        <v>22</v>
      </c>
      <c r="D5" s="46" t="s">
        <v>19</v>
      </c>
      <c r="E5" s="46">
        <v>2</v>
      </c>
      <c r="F5" s="46">
        <v>11.11</v>
      </c>
      <c r="G5" s="46">
        <f t="shared" si="0"/>
        <v>22.22</v>
      </c>
      <c r="H5" s="46"/>
      <c r="I5" s="46">
        <v>7</v>
      </c>
      <c r="J5" s="46">
        <v>19</v>
      </c>
      <c r="K5" s="46">
        <v>50</v>
      </c>
      <c r="L5" s="46" t="s">
        <v>23</v>
      </c>
      <c r="N5" s="13" t="str">
        <v>三通</v>
      </c>
      <c r="O5" s="13">
        <v>0</v>
      </c>
      <c r="P5" s="13">
        <v>5</v>
      </c>
      <c r="Q5" s="13">
        <v>15</v>
      </c>
      <c r="R5" s="13">
        <v>0</v>
      </c>
      <c r="V5">
        <v>7</v>
      </c>
      <c r="W5" t="str">
        <v>绳卡</v>
      </c>
      <c r="X5" t="str">
        <v>16*40</v>
      </c>
      <c r="Y5" t="str">
        <v>个</v>
      </c>
      <c r="Z5">
        <v>30</v>
      </c>
      <c r="AA5">
        <v>4</v>
      </c>
      <c r="AB5">
        <v>120</v>
      </c>
      <c r="AC5">
        <v>0</v>
      </c>
      <c r="AD5">
        <v>44</v>
      </c>
      <c r="AE5">
        <v>37</v>
      </c>
      <c r="AF5">
        <v>9</v>
      </c>
      <c r="AG5" t="str">
        <v>孙悟空</v>
      </c>
    </row>
    <row r="6" customHeight="1" spans="1:33">
      <c r="A6" s="45">
        <v>6</v>
      </c>
      <c r="B6" s="45" t="s">
        <v>24</v>
      </c>
      <c r="C6" s="45" t="s">
        <v>25</v>
      </c>
      <c r="D6" s="45" t="s">
        <v>19</v>
      </c>
      <c r="E6" s="45">
        <v>16</v>
      </c>
      <c r="F6" s="45">
        <v>15</v>
      </c>
      <c r="G6" s="45">
        <f t="shared" si="0"/>
        <v>240</v>
      </c>
      <c r="H6" s="45"/>
      <c r="I6" s="45">
        <v>2</v>
      </c>
      <c r="J6" s="45">
        <v>33</v>
      </c>
      <c r="K6" s="45">
        <v>48</v>
      </c>
      <c r="L6" s="45" t="s">
        <v>17</v>
      </c>
      <c r="N6" s="13" t="str">
        <v>卡套油管接头</v>
      </c>
      <c r="O6" s="13">
        <v>150</v>
      </c>
      <c r="P6" s="13">
        <v>5</v>
      </c>
      <c r="Q6" s="13">
        <v>0</v>
      </c>
      <c r="R6" s="13">
        <v>0</v>
      </c>
      <c r="V6">
        <v>13</v>
      </c>
      <c r="W6" t="str">
        <v>螺栓</v>
      </c>
      <c r="X6" t="str">
        <v>16*60</v>
      </c>
      <c r="Y6" t="str">
        <v>个</v>
      </c>
      <c r="Z6">
        <v>300</v>
      </c>
      <c r="AA6">
        <v>0.53</v>
      </c>
      <c r="AB6">
        <v>159</v>
      </c>
      <c r="AC6">
        <v>0</v>
      </c>
      <c r="AD6">
        <v>34</v>
      </c>
      <c r="AE6">
        <v>43</v>
      </c>
      <c r="AF6">
        <v>9</v>
      </c>
      <c r="AG6" t="str">
        <v>唐僧</v>
      </c>
    </row>
    <row r="7" customFormat="1" customHeight="1" spans="1:33">
      <c r="A7" s="46">
        <v>7</v>
      </c>
      <c r="B7" s="47" t="s">
        <v>24</v>
      </c>
      <c r="C7" s="46" t="s">
        <v>26</v>
      </c>
      <c r="D7" s="46" t="s">
        <v>19</v>
      </c>
      <c r="E7" s="46">
        <v>30</v>
      </c>
      <c r="F7" s="46">
        <v>4</v>
      </c>
      <c r="G7" s="46">
        <f t="shared" si="0"/>
        <v>120</v>
      </c>
      <c r="H7" s="46"/>
      <c r="I7" s="46">
        <v>44</v>
      </c>
      <c r="J7" s="46">
        <v>37</v>
      </c>
      <c r="K7" s="46">
        <v>9</v>
      </c>
      <c r="L7" s="46" t="s">
        <v>27</v>
      </c>
      <c r="N7" s="13" t="str">
        <v>开孔器</v>
      </c>
      <c r="O7" s="13">
        <v>0</v>
      </c>
      <c r="P7" s="13">
        <v>0</v>
      </c>
      <c r="Q7" s="13">
        <v>22.22</v>
      </c>
      <c r="R7" s="13">
        <v>133.32</v>
      </c>
      <c r="V7">
        <v>15</v>
      </c>
      <c r="W7" t="str">
        <v>水表</v>
      </c>
      <c r="X7" t="str">
        <v>DN50</v>
      </c>
      <c r="Y7" t="str">
        <v>只</v>
      </c>
      <c r="Z7">
        <v>1</v>
      </c>
      <c r="AA7">
        <v>107.69</v>
      </c>
      <c r="AB7">
        <v>107.69</v>
      </c>
      <c r="AC7">
        <v>0</v>
      </c>
      <c r="AD7">
        <v>50</v>
      </c>
      <c r="AE7">
        <v>50</v>
      </c>
      <c r="AF7">
        <v>8</v>
      </c>
      <c r="AG7" t="str">
        <v>猪八戒</v>
      </c>
    </row>
    <row r="8" customFormat="1" customHeight="1" spans="1:33">
      <c r="A8" s="45">
        <v>8</v>
      </c>
      <c r="B8" s="45" t="s">
        <v>24</v>
      </c>
      <c r="C8" s="45" t="s">
        <v>26</v>
      </c>
      <c r="D8" s="45" t="s">
        <v>28</v>
      </c>
      <c r="E8" s="45">
        <v>1</v>
      </c>
      <c r="F8" s="45">
        <v>40</v>
      </c>
      <c r="G8" s="45">
        <f t="shared" si="0"/>
        <v>40</v>
      </c>
      <c r="H8" s="45"/>
      <c r="I8" s="45">
        <v>14</v>
      </c>
      <c r="J8" s="45">
        <v>48</v>
      </c>
      <c r="K8" s="45">
        <v>50</v>
      </c>
      <c r="L8" s="45" t="s">
        <v>17</v>
      </c>
      <c r="N8" s="13" t="str">
        <v>普通螺栓</v>
      </c>
      <c r="O8" s="13">
        <v>0</v>
      </c>
      <c r="P8" s="13">
        <v>11.28</v>
      </c>
      <c r="Q8" s="13">
        <v>0.43</v>
      </c>
      <c r="R8" s="13">
        <v>0</v>
      </c>
      <c r="V8">
        <v>17</v>
      </c>
      <c r="W8" t="str">
        <v>槽钢</v>
      </c>
      <c r="X8" t="str">
        <v>800mm</v>
      </c>
      <c r="Y8" t="str">
        <v>kg</v>
      </c>
      <c r="Z8">
        <v>900</v>
      </c>
      <c r="AA8">
        <v>4.96</v>
      </c>
      <c r="AB8">
        <v>4464</v>
      </c>
      <c r="AC8">
        <v>0</v>
      </c>
      <c r="AD8">
        <v>32</v>
      </c>
      <c r="AE8">
        <v>7</v>
      </c>
      <c r="AF8">
        <v>24</v>
      </c>
      <c r="AG8" t="str">
        <v>唐僧</v>
      </c>
    </row>
    <row r="9" customFormat="1" customHeight="1" spans="1:33">
      <c r="A9" s="46">
        <v>9</v>
      </c>
      <c r="B9" s="47" t="s">
        <v>29</v>
      </c>
      <c r="C9" s="46" t="s">
        <v>30</v>
      </c>
      <c r="D9" s="46" t="s">
        <v>19</v>
      </c>
      <c r="E9" s="46">
        <v>12</v>
      </c>
      <c r="F9" s="46">
        <v>0.94</v>
      </c>
      <c r="G9" s="46">
        <f t="shared" si="0"/>
        <v>11.28</v>
      </c>
      <c r="H9" s="46"/>
      <c r="I9" s="46">
        <v>28</v>
      </c>
      <c r="J9" s="46">
        <v>26</v>
      </c>
      <c r="K9" s="46">
        <v>35</v>
      </c>
      <c r="L9" s="46" t="s">
        <v>27</v>
      </c>
      <c r="N9" s="13" t="str">
        <v>暖气片垫圈</v>
      </c>
      <c r="O9" s="13">
        <v>0</v>
      </c>
      <c r="P9" s="13">
        <v>0.16</v>
      </c>
      <c r="Q9" s="13">
        <v>0</v>
      </c>
      <c r="R9" s="13">
        <v>0</v>
      </c>
      <c r="V9">
        <v>18</v>
      </c>
      <c r="W9" t="str">
        <v>卡套油管接头</v>
      </c>
      <c r="X9">
        <v>12</v>
      </c>
      <c r="Y9" t="str">
        <v>个</v>
      </c>
      <c r="Z9">
        <v>30</v>
      </c>
      <c r="AA9">
        <v>5</v>
      </c>
      <c r="AB9">
        <v>150</v>
      </c>
      <c r="AC9">
        <v>0</v>
      </c>
      <c r="AD9">
        <v>5</v>
      </c>
      <c r="AE9">
        <v>33</v>
      </c>
      <c r="AF9">
        <v>30</v>
      </c>
      <c r="AG9" t="str">
        <v>唐僧</v>
      </c>
    </row>
    <row r="10" customFormat="1" customHeight="1" spans="1:33">
      <c r="A10" s="45">
        <v>11</v>
      </c>
      <c r="B10" s="45" t="s">
        <v>29</v>
      </c>
      <c r="C10" s="45" t="s">
        <v>31</v>
      </c>
      <c r="D10" s="45" t="s">
        <v>19</v>
      </c>
      <c r="E10" s="45">
        <v>3</v>
      </c>
      <c r="F10" s="45">
        <v>0.01</v>
      </c>
      <c r="G10" s="45">
        <f t="shared" si="0"/>
        <v>0.03</v>
      </c>
      <c r="H10" s="45"/>
      <c r="I10" s="45">
        <v>17</v>
      </c>
      <c r="J10" s="45">
        <v>35</v>
      </c>
      <c r="K10" s="45">
        <v>38</v>
      </c>
      <c r="L10" s="45" t="s">
        <v>23</v>
      </c>
      <c r="N10" s="13" t="str">
        <v>槽钢</v>
      </c>
      <c r="O10" s="13">
        <v>4464</v>
      </c>
      <c r="P10" s="13">
        <v>0</v>
      </c>
      <c r="Q10" s="13">
        <v>0</v>
      </c>
      <c r="R10" s="13">
        <v>19.84</v>
      </c>
      <c r="V10">
        <v>21</v>
      </c>
      <c r="W10" t="str">
        <v>开孔器</v>
      </c>
      <c r="X10" t="str">
        <v>Φ35</v>
      </c>
      <c r="Y10" t="str">
        <v>个</v>
      </c>
      <c r="Z10">
        <v>12</v>
      </c>
      <c r="AA10">
        <v>11.11</v>
      </c>
      <c r="AB10">
        <v>133.32</v>
      </c>
      <c r="AC10">
        <v>3</v>
      </c>
      <c r="AD10">
        <v>30</v>
      </c>
      <c r="AE10">
        <v>13</v>
      </c>
      <c r="AF10">
        <v>44</v>
      </c>
      <c r="AG10" t="str">
        <v>猪八戒</v>
      </c>
    </row>
    <row r="11" customFormat="1" customHeight="1" spans="1:33">
      <c r="A11" s="46">
        <v>12</v>
      </c>
      <c r="B11" s="47" t="s">
        <v>32</v>
      </c>
      <c r="C11" s="46" t="s">
        <v>33</v>
      </c>
      <c r="D11" s="46" t="s">
        <v>34</v>
      </c>
      <c r="E11" s="46">
        <v>1</v>
      </c>
      <c r="F11" s="46">
        <v>5</v>
      </c>
      <c r="G11" s="46">
        <f t="shared" si="0"/>
        <v>5</v>
      </c>
      <c r="H11" s="46"/>
      <c r="I11" s="46">
        <v>7</v>
      </c>
      <c r="J11" s="46">
        <v>27</v>
      </c>
      <c r="K11" s="46">
        <v>18</v>
      </c>
      <c r="L11" s="46" t="s">
        <v>27</v>
      </c>
      <c r="N11" s="13" t="str">
        <v>水表</v>
      </c>
      <c r="O11" s="13">
        <v>240</v>
      </c>
      <c r="P11" s="13">
        <v>0</v>
      </c>
      <c r="Q11" s="13">
        <v>0</v>
      </c>
      <c r="R11" s="13">
        <v>215.38</v>
      </c>
    </row>
    <row r="12" customFormat="1" customHeight="1" spans="1:33">
      <c r="A12" s="45">
        <v>13</v>
      </c>
      <c r="B12" s="45" t="s">
        <v>35</v>
      </c>
      <c r="C12" s="45" t="s">
        <v>36</v>
      </c>
      <c r="D12" s="45" t="s">
        <v>19</v>
      </c>
      <c r="E12" s="45">
        <v>300</v>
      </c>
      <c r="F12" s="45">
        <v>0.53</v>
      </c>
      <c r="G12" s="45">
        <f t="shared" si="0"/>
        <v>159</v>
      </c>
      <c r="H12" s="45"/>
      <c r="I12" s="45">
        <v>34</v>
      </c>
      <c r="J12" s="45">
        <v>43</v>
      </c>
      <c r="K12" s="45">
        <v>9</v>
      </c>
      <c r="L12" s="45" t="s">
        <v>20</v>
      </c>
      <c r="N12" s="13" t="str">
        <v>绳卡</v>
      </c>
      <c r="O12" s="13">
        <v>0</v>
      </c>
      <c r="P12" s="13">
        <v>135</v>
      </c>
      <c r="Q12" s="13">
        <v>0</v>
      </c>
      <c r="R12" s="13">
        <v>280</v>
      </c>
    </row>
    <row r="13" customFormat="1" customHeight="1" spans="1:33">
      <c r="A13" s="46">
        <v>15</v>
      </c>
      <c r="B13" s="47" t="s">
        <v>14</v>
      </c>
      <c r="C13" s="46" t="s">
        <v>15</v>
      </c>
      <c r="D13" s="46" t="s">
        <v>16</v>
      </c>
      <c r="E13" s="46">
        <v>1</v>
      </c>
      <c r="F13" s="46">
        <v>107.69</v>
      </c>
      <c r="G13" s="46">
        <f t="shared" si="0"/>
        <v>107.69</v>
      </c>
      <c r="H13" s="46"/>
      <c r="I13" s="46">
        <v>50</v>
      </c>
      <c r="J13" s="46">
        <v>50</v>
      </c>
      <c r="K13" s="46">
        <v>8</v>
      </c>
      <c r="L13" s="46" t="s">
        <v>17</v>
      </c>
      <c r="N13" s="13" t="str">
        <v>螺栓</v>
      </c>
      <c r="O13" s="13">
        <v>165.36</v>
      </c>
      <c r="P13" s="13">
        <v>0</v>
      </c>
      <c r="Q13" s="13">
        <v>0</v>
      </c>
      <c r="R13" s="13">
        <v>0</v>
      </c>
    </row>
    <row r="14" customFormat="1" customHeight="1" spans="1:33">
      <c r="A14" s="45">
        <v>16</v>
      </c>
      <c r="B14" s="45" t="s">
        <v>37</v>
      </c>
      <c r="C14" s="45">
        <v>12</v>
      </c>
      <c r="D14" s="45" t="s">
        <v>19</v>
      </c>
      <c r="E14" s="45">
        <v>1</v>
      </c>
      <c r="F14" s="45">
        <v>5</v>
      </c>
      <c r="G14" s="45">
        <f t="shared" si="0"/>
        <v>5</v>
      </c>
      <c r="H14" s="45"/>
      <c r="I14" s="45">
        <v>18</v>
      </c>
      <c r="J14" s="45">
        <v>30</v>
      </c>
      <c r="K14" s="45">
        <v>41</v>
      </c>
      <c r="L14" s="45" t="s">
        <v>27</v>
      </c>
    </row>
    <row r="15" customFormat="1" customHeight="1" spans="1:33">
      <c r="A15" s="46">
        <v>17</v>
      </c>
      <c r="B15" s="47" t="s">
        <v>38</v>
      </c>
      <c r="C15" s="46" t="s">
        <v>39</v>
      </c>
      <c r="D15" s="46" t="s">
        <v>40</v>
      </c>
      <c r="E15" s="46">
        <v>900</v>
      </c>
      <c r="F15" s="46">
        <v>4.96</v>
      </c>
      <c r="G15" s="46">
        <f t="shared" si="0"/>
        <v>4464</v>
      </c>
      <c r="H15" s="46"/>
      <c r="I15" s="46">
        <v>32</v>
      </c>
      <c r="J15" s="46">
        <v>7</v>
      </c>
      <c r="K15" s="46">
        <v>24</v>
      </c>
      <c r="L15" s="46" t="s">
        <v>20</v>
      </c>
    </row>
    <row r="16" customFormat="1" customHeight="1" spans="1:33">
      <c r="A16" s="45">
        <f t="shared" ref="A16:A23" si="1">A15+1</f>
        <v>18</v>
      </c>
      <c r="B16" s="45" t="s">
        <v>37</v>
      </c>
      <c r="C16" s="45">
        <v>12</v>
      </c>
      <c r="D16" s="45" t="s">
        <v>19</v>
      </c>
      <c r="E16" s="45">
        <v>30</v>
      </c>
      <c r="F16" s="45">
        <v>5</v>
      </c>
      <c r="G16" s="45">
        <f t="shared" si="0"/>
        <v>150</v>
      </c>
      <c r="H16" s="45"/>
      <c r="I16" s="45">
        <v>5</v>
      </c>
      <c r="J16" s="45">
        <v>33</v>
      </c>
      <c r="K16" s="45">
        <v>30</v>
      </c>
      <c r="L16" s="45" t="s">
        <v>20</v>
      </c>
      <c r="N16" t="str" cm="1">
        <f t="array" ref="N16:Z26">jsaLambda("$$.superPivot",A2:L23,{"f2"},{"f12"},{"count(),sum(`f7`),average(`f7`)","计数,求和,均值"})</f>
        <v>经手人</v>
      </c>
      <c r="O16" t="str">
        <v>唐僧</v>
      </c>
      <c r="P16" t="str">
        <v>唐僧</v>
      </c>
      <c r="Q16" t="str">
        <v>唐僧</v>
      </c>
      <c r="R16" t="str">
        <v>孙悟空</v>
      </c>
      <c r="S16" t="str">
        <v>孙悟空</v>
      </c>
      <c r="T16" t="str">
        <v>孙悟空</v>
      </c>
      <c r="U16" t="str">
        <v>沙和尚</v>
      </c>
      <c r="V16" t="str">
        <v>沙和尚</v>
      </c>
      <c r="W16" t="str">
        <v>沙和尚</v>
      </c>
      <c r="X16" t="str">
        <v>猪八戒</v>
      </c>
      <c r="Y16" t="str">
        <v>猪八戒</v>
      </c>
      <c r="Z16" t="str">
        <v>猪八戒</v>
      </c>
    </row>
    <row r="17" customFormat="1" customHeight="1" spans="1:26">
      <c r="A17" s="46">
        <f t="shared" si="1"/>
        <v>19</v>
      </c>
      <c r="B17" s="47" t="s">
        <v>29</v>
      </c>
      <c r="C17" s="46" t="s">
        <v>26</v>
      </c>
      <c r="D17" s="46" t="s">
        <v>19</v>
      </c>
      <c r="E17" s="46">
        <v>1</v>
      </c>
      <c r="F17" s="46">
        <v>0.4</v>
      </c>
      <c r="G17" s="46">
        <f t="shared" si="0"/>
        <v>0.4</v>
      </c>
      <c r="H17" s="46"/>
      <c r="I17" s="46">
        <v>20</v>
      </c>
      <c r="J17" s="46">
        <v>50</v>
      </c>
      <c r="K17" s="46">
        <v>17</v>
      </c>
      <c r="L17" s="46" t="s">
        <v>23</v>
      </c>
      <c r="N17" t="str">
        <v>材料名称</v>
      </c>
      <c r="O17" t="str">
        <v>计数</v>
      </c>
      <c r="P17" t="str">
        <v>求和</v>
      </c>
      <c r="Q17" t="str">
        <v>均值</v>
      </c>
      <c r="R17" t="str">
        <v>计数</v>
      </c>
      <c r="S17" t="str">
        <v>求和</v>
      </c>
      <c r="T17" t="str">
        <v>均值</v>
      </c>
      <c r="U17" t="str">
        <v>计数</v>
      </c>
      <c r="V17" t="str">
        <v>求和</v>
      </c>
      <c r="W17" t="str">
        <v>均值</v>
      </c>
      <c r="X17" t="str">
        <v>计数</v>
      </c>
      <c r="Y17" t="str">
        <v>求和</v>
      </c>
      <c r="Z17" t="str">
        <v>均值</v>
      </c>
    </row>
    <row r="18" customFormat="1" customHeight="1" spans="1:26">
      <c r="A18" s="45">
        <f t="shared" si="1"/>
        <v>20</v>
      </c>
      <c r="B18" s="45" t="s">
        <v>38</v>
      </c>
      <c r="C18" s="45" t="s">
        <v>39</v>
      </c>
      <c r="D18" s="45" t="s">
        <v>40</v>
      </c>
      <c r="E18" s="45">
        <v>4</v>
      </c>
      <c r="F18" s="45">
        <v>4.96</v>
      </c>
      <c r="G18" s="45">
        <f t="shared" si="0"/>
        <v>19.84</v>
      </c>
      <c r="H18" s="45"/>
      <c r="I18" s="45">
        <v>14</v>
      </c>
      <c r="J18" s="45">
        <v>28</v>
      </c>
      <c r="K18" s="45">
        <v>47</v>
      </c>
      <c r="L18" s="45" t="s">
        <v>17</v>
      </c>
      <c r="N18" t="str">
        <v>三通</v>
      </c>
      <c r="O18">
        <v>0</v>
      </c>
      <c r="P18">
        <v>0</v>
      </c>
      <c r="Q18">
        <v>0</v>
      </c>
      <c r="R18">
        <v>1</v>
      </c>
      <c r="S18">
        <v>5</v>
      </c>
      <c r="T18">
        <v>5</v>
      </c>
      <c r="U18">
        <v>1</v>
      </c>
      <c r="V18">
        <v>15</v>
      </c>
      <c r="W18">
        <v>15</v>
      </c>
      <c r="X18">
        <v>0</v>
      </c>
      <c r="Y18">
        <v>0</v>
      </c>
      <c r="Z18">
        <v>0</v>
      </c>
    </row>
    <row r="19" customFormat="1" customHeight="1" spans="1:26">
      <c r="A19" s="46">
        <f t="shared" si="1"/>
        <v>21</v>
      </c>
      <c r="B19" s="47" t="s">
        <v>21</v>
      </c>
      <c r="C19" s="46" t="s">
        <v>22</v>
      </c>
      <c r="D19" s="46" t="s">
        <v>19</v>
      </c>
      <c r="E19" s="46">
        <v>12</v>
      </c>
      <c r="F19" s="46">
        <v>11.11</v>
      </c>
      <c r="G19" s="46">
        <f t="shared" si="0"/>
        <v>133.32</v>
      </c>
      <c r="H19" s="46">
        <v>3</v>
      </c>
      <c r="I19" s="46">
        <v>30</v>
      </c>
      <c r="J19" s="46">
        <v>13</v>
      </c>
      <c r="K19" s="46">
        <v>44</v>
      </c>
      <c r="L19" s="46" t="s">
        <v>17</v>
      </c>
      <c r="N19" t="str">
        <v>卡套油管接头</v>
      </c>
      <c r="O19">
        <v>1</v>
      </c>
      <c r="P19">
        <v>150</v>
      </c>
      <c r="Q19">
        <v>150</v>
      </c>
      <c r="R19">
        <v>1</v>
      </c>
      <c r="S19">
        <v>5</v>
      </c>
      <c r="T19">
        <v>5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customFormat="1" customHeight="1" spans="1:26">
      <c r="A20" s="45">
        <f t="shared" si="1"/>
        <v>22</v>
      </c>
      <c r="B20" s="45" t="s">
        <v>41</v>
      </c>
      <c r="C20" s="45" t="s">
        <v>31</v>
      </c>
      <c r="D20" s="45" t="s">
        <v>19</v>
      </c>
      <c r="E20" s="45">
        <v>16</v>
      </c>
      <c r="F20" s="45">
        <v>0.01</v>
      </c>
      <c r="G20" s="45">
        <f t="shared" si="0"/>
        <v>0.16</v>
      </c>
      <c r="H20" s="45">
        <v>36</v>
      </c>
      <c r="I20" s="45">
        <v>2</v>
      </c>
      <c r="J20" s="45">
        <v>5</v>
      </c>
      <c r="K20" s="45">
        <v>28</v>
      </c>
      <c r="L20" s="45" t="s">
        <v>27</v>
      </c>
      <c r="N20" t="str">
        <v>开孔器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V20">
        <v>22.22</v>
      </c>
      <c r="W20">
        <v>22.22</v>
      </c>
      <c r="X20">
        <v>1</v>
      </c>
      <c r="Y20">
        <v>133.32</v>
      </c>
      <c r="Z20">
        <v>133.32</v>
      </c>
    </row>
    <row r="21" customFormat="1" customHeight="1" spans="1:26">
      <c r="A21" s="46">
        <f t="shared" si="1"/>
        <v>23</v>
      </c>
      <c r="B21" s="47" t="s">
        <v>24</v>
      </c>
      <c r="C21" s="46" t="s">
        <v>42</v>
      </c>
      <c r="D21" s="46" t="s">
        <v>19</v>
      </c>
      <c r="E21" s="46">
        <v>1</v>
      </c>
      <c r="F21" s="46">
        <v>15</v>
      </c>
      <c r="G21" s="46">
        <f t="shared" si="0"/>
        <v>15</v>
      </c>
      <c r="H21" s="46">
        <v>49</v>
      </c>
      <c r="I21" s="46">
        <v>3</v>
      </c>
      <c r="J21" s="46">
        <v>6</v>
      </c>
      <c r="K21" s="46">
        <v>26</v>
      </c>
      <c r="L21" s="46" t="s">
        <v>27</v>
      </c>
      <c r="N21" t="str">
        <v>普通螺栓</v>
      </c>
      <c r="O21">
        <v>0</v>
      </c>
      <c r="P21">
        <v>0</v>
      </c>
      <c r="Q21">
        <v>0</v>
      </c>
      <c r="R21">
        <v>1</v>
      </c>
      <c r="S21">
        <v>11.28</v>
      </c>
      <c r="T21">
        <v>11.28</v>
      </c>
      <c r="U21">
        <v>2</v>
      </c>
      <c r="V21">
        <v>0.43</v>
      </c>
      <c r="W21">
        <v>0.215</v>
      </c>
      <c r="X21">
        <v>0</v>
      </c>
      <c r="Y21">
        <v>0</v>
      </c>
      <c r="Z21">
        <v>0</v>
      </c>
    </row>
    <row r="22" customFormat="1" customHeight="1" spans="1:26">
      <c r="A22" s="45">
        <f t="shared" si="1"/>
        <v>24</v>
      </c>
      <c r="B22" s="45" t="s">
        <v>35</v>
      </c>
      <c r="C22" s="45" t="s">
        <v>36</v>
      </c>
      <c r="D22" s="45" t="s">
        <v>19</v>
      </c>
      <c r="E22" s="45">
        <v>12</v>
      </c>
      <c r="F22" s="45">
        <v>0.53</v>
      </c>
      <c r="G22" s="45">
        <f t="shared" si="0"/>
        <v>6.36</v>
      </c>
      <c r="H22" s="45">
        <v>40</v>
      </c>
      <c r="I22" s="45">
        <v>7</v>
      </c>
      <c r="J22" s="45">
        <v>15</v>
      </c>
      <c r="K22" s="45">
        <v>40</v>
      </c>
      <c r="L22" s="45" t="s">
        <v>20</v>
      </c>
      <c r="N22" t="str">
        <v>暖气片垫圈</v>
      </c>
      <c r="O22">
        <v>0</v>
      </c>
      <c r="P22">
        <v>0</v>
      </c>
      <c r="Q22">
        <v>0</v>
      </c>
      <c r="R22">
        <v>1</v>
      </c>
      <c r="S22">
        <v>0.16</v>
      </c>
      <c r="T22">
        <v>0.16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customFormat="1" customHeight="1" spans="1:26">
      <c r="A23" s="46">
        <f t="shared" si="1"/>
        <v>25</v>
      </c>
      <c r="B23" s="47" t="s">
        <v>32</v>
      </c>
      <c r="C23" s="46" t="s">
        <v>33</v>
      </c>
      <c r="D23" s="46" t="s">
        <v>34</v>
      </c>
      <c r="E23" s="46">
        <v>3</v>
      </c>
      <c r="F23" s="46">
        <v>5</v>
      </c>
      <c r="G23" s="46">
        <f t="shared" si="0"/>
        <v>15</v>
      </c>
      <c r="H23" s="46">
        <v>19</v>
      </c>
      <c r="I23" s="46">
        <v>38</v>
      </c>
      <c r="J23" s="46">
        <v>5</v>
      </c>
      <c r="K23" s="46">
        <v>43</v>
      </c>
      <c r="L23" s="46" t="s">
        <v>23</v>
      </c>
      <c r="N23" t="str">
        <v>槽钢</v>
      </c>
      <c r="O23">
        <v>1</v>
      </c>
      <c r="P23">
        <v>4464</v>
      </c>
      <c r="Q23">
        <v>4464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1</v>
      </c>
      <c r="Y23">
        <v>19.84</v>
      </c>
      <c r="Z23">
        <v>19.84</v>
      </c>
    </row>
    <row r="24" ht="16.8" spans="1:26">
      <c r="N24" t="str">
        <v>水表</v>
      </c>
      <c r="O24">
        <v>1</v>
      </c>
      <c r="P24">
        <v>240</v>
      </c>
      <c r="Q24">
        <v>240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2</v>
      </c>
      <c r="Y24">
        <v>215.38</v>
      </c>
      <c r="Z24">
        <v>107.69</v>
      </c>
    </row>
    <row r="25" customHeight="1" spans="1:26">
      <c r="N25" t="str">
        <v>绳卡</v>
      </c>
      <c r="O25">
        <v>0</v>
      </c>
      <c r="P25">
        <v>0</v>
      </c>
      <c r="Q25">
        <v>0</v>
      </c>
      <c r="R25">
        <v>2</v>
      </c>
      <c r="S25">
        <v>135</v>
      </c>
      <c r="T25">
        <v>67.5</v>
      </c>
      <c r="U25">
        <v>0</v>
      </c>
      <c r="V25">
        <v>0</v>
      </c>
      <c r="W25">
        <v>0</v>
      </c>
      <c r="X25">
        <v>2</v>
      </c>
      <c r="Y25">
        <v>280</v>
      </c>
      <c r="Z25">
        <v>140</v>
      </c>
    </row>
    <row r="26" customHeight="1" spans="1:26">
      <c r="N26" t="str">
        <v>螺栓</v>
      </c>
      <c r="O26">
        <v>2</v>
      </c>
      <c r="P26">
        <v>165.36</v>
      </c>
      <c r="Q26">
        <v>82.68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32" customHeight="1" spans="1:26">
      <c r="N32" t="str" cm="1">
        <f t="array" ref="N32:P41">jsaLambda("$$.superPivot",A2:L23,{"f2"},{""},{"sum(`f7`),count()","求和,计数"})</f>
        <v>材料名称</v>
      </c>
      <c r="O32" t="str">
        <v>求和</v>
      </c>
      <c r="P32" t="str">
        <v>计数</v>
      </c>
    </row>
    <row r="33" customHeight="1" spans="14:16">
      <c r="N33" t="str">
        <v>三通</v>
      </c>
      <c r="O33">
        <v>20</v>
      </c>
      <c r="P33">
        <v>2</v>
      </c>
    </row>
    <row r="34" customHeight="1" spans="14:16">
      <c r="N34" t="str">
        <v>卡套油管接头</v>
      </c>
      <c r="O34">
        <v>155</v>
      </c>
      <c r="P34">
        <v>2</v>
      </c>
    </row>
    <row r="35" customHeight="1" spans="14:16">
      <c r="N35" t="str">
        <v>开孔器</v>
      </c>
      <c r="O35">
        <v>155.54</v>
      </c>
      <c r="P35">
        <v>2</v>
      </c>
    </row>
    <row r="36" customHeight="1" spans="14:16">
      <c r="N36" t="str">
        <v>普通螺栓</v>
      </c>
      <c r="O36">
        <v>11.71</v>
      </c>
      <c r="P36">
        <v>3</v>
      </c>
    </row>
    <row r="37" customHeight="1" spans="14:16">
      <c r="N37" t="str">
        <v>暖气片垫圈</v>
      </c>
      <c r="O37">
        <v>0.16</v>
      </c>
      <c r="P37">
        <v>1</v>
      </c>
    </row>
    <row r="38" customHeight="1" spans="14:16">
      <c r="N38" t="str">
        <v>槽钢</v>
      </c>
      <c r="O38">
        <v>4483.84</v>
      </c>
      <c r="P38">
        <v>2</v>
      </c>
    </row>
    <row r="39" customHeight="1" spans="14:16">
      <c r="N39" t="str">
        <v>水表</v>
      </c>
      <c r="O39">
        <v>455.38</v>
      </c>
      <c r="P39">
        <v>3</v>
      </c>
    </row>
    <row r="40" customHeight="1" spans="14:16">
      <c r="N40" t="str">
        <v>绳卡</v>
      </c>
      <c r="O40">
        <v>415</v>
      </c>
      <c r="P40">
        <v>4</v>
      </c>
    </row>
    <row r="41" customHeight="1" spans="14:16">
      <c r="N41" t="str">
        <v>螺栓</v>
      </c>
      <c r="O41">
        <v>165.36</v>
      </c>
      <c r="P41">
        <v>2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O23"/>
  <sheetViews>
    <sheetView workbookViewId="0">
      <selection activeCell="I4" sqref="I4"/>
    </sheetView>
  </sheetViews>
  <sheetFormatPr defaultColWidth="8.88461538461539" defaultRowHeight="23" customHeight="1"/>
  <cols>
    <col min="1" max="1" width="15.5096153846154" style="23" customWidth="1"/>
    <col min="2" max="2" width="10.2980769230769" style="23" customWidth="1"/>
    <col min="3" max="3" width="5.09615384615385" style="23" customWidth="1"/>
    <col min="4" max="4" width="5.33653846153846" style="23" customWidth="1"/>
    <col min="5" max="6" width="9" style="23" customWidth="1"/>
    <col min="7" max="7" width="8.75" style="23" customWidth="1"/>
    <col min="8" max="8" width="8.88461538461539" style="23"/>
    <col min="9" max="9" width="9.30769230769231" style="23" customWidth="1"/>
    <col min="10" max="10" width="12.0673076923077" style="23" customWidth="1"/>
    <col min="11" max="11" width="13.0673076923077" style="23" customWidth="1"/>
    <col min="12" max="16384" width="8.88461538461539" style="23"/>
  </cols>
  <sheetData>
    <row r="1" customHeight="1" spans="1:15">
      <c r="A1" s="26">
        <v>2</v>
      </c>
      <c r="B1" s="26">
        <v>3</v>
      </c>
      <c r="C1" s="26">
        <v>4</v>
      </c>
      <c r="D1" s="26">
        <v>5</v>
      </c>
      <c r="E1" s="26">
        <v>6</v>
      </c>
      <c r="F1" s="26">
        <v>7</v>
      </c>
      <c r="G1" s="26">
        <v>8</v>
      </c>
      <c r="I1" s="38" t="s">
        <v>45</v>
      </c>
      <c r="J1" s="38"/>
      <c r="K1" s="28" t="s">
        <v>14</v>
      </c>
    </row>
    <row r="2" customHeight="1" spans="1:15">
      <c r="A2" s="29" t="s">
        <v>1</v>
      </c>
      <c r="B2" s="30" t="s">
        <v>2</v>
      </c>
      <c r="C2" s="30" t="s">
        <v>3</v>
      </c>
      <c r="D2" s="30" t="s">
        <v>4</v>
      </c>
      <c r="E2" s="30" t="s">
        <v>5</v>
      </c>
      <c r="F2" s="30" t="s">
        <v>6</v>
      </c>
      <c r="G2" s="30" t="s">
        <v>11</v>
      </c>
      <c r="I2" s="31" t="s">
        <v>1</v>
      </c>
      <c r="J2" s="32" t="s">
        <v>2</v>
      </c>
      <c r="K2" s="32" t="s">
        <v>3</v>
      </c>
      <c r="L2" s="32" t="s">
        <v>4</v>
      </c>
      <c r="M2" s="32" t="s">
        <v>5</v>
      </c>
      <c r="N2" s="32" t="s">
        <v>6</v>
      </c>
      <c r="O2" s="32" t="s">
        <v>11</v>
      </c>
    </row>
    <row r="3" customHeight="1" spans="1:15">
      <c r="A3" s="33" t="s">
        <v>14</v>
      </c>
      <c r="B3" s="34" t="s">
        <v>15</v>
      </c>
      <c r="C3" s="34" t="s">
        <v>16</v>
      </c>
      <c r="D3" s="34">
        <v>1</v>
      </c>
      <c r="E3" s="34">
        <v>107.69</v>
      </c>
      <c r="F3" s="34">
        <f t="shared" ref="F3:F23" si="0">D3*E3</f>
        <v>107.69</v>
      </c>
      <c r="G3" s="34" t="s">
        <v>17</v>
      </c>
      <c r="I3" s="23" t="str" cm="1">
        <f t="array" ref="I3:O5">_xlfn._xlws.FILTER(A3:G23,A3:A23=K1)</f>
        <v>水表</v>
      </c>
      <c r="J3" t="str">
        <v>DN50</v>
      </c>
      <c r="K3" t="str">
        <v>只</v>
      </c>
      <c r="L3">
        <v>1</v>
      </c>
      <c r="M3">
        <v>107.69</v>
      </c>
      <c r="N3">
        <v>107.69</v>
      </c>
      <c r="O3" t="str">
        <v>猪八戒</v>
      </c>
    </row>
    <row r="4" customHeight="1" spans="1:15">
      <c r="A4" s="35" t="s">
        <v>14</v>
      </c>
      <c r="B4" s="35" t="s">
        <v>18</v>
      </c>
      <c r="C4" s="35" t="s">
        <v>19</v>
      </c>
      <c r="D4" s="35">
        <v>16</v>
      </c>
      <c r="E4" s="35">
        <v>15</v>
      </c>
      <c r="F4" s="35">
        <f t="shared" si="0"/>
        <v>240</v>
      </c>
      <c r="G4" s="35" t="s">
        <v>20</v>
      </c>
      <c r="I4" t="str">
        <v>水表</v>
      </c>
      <c r="J4" t="str">
        <v>DN25</v>
      </c>
      <c r="K4" t="str">
        <v>个</v>
      </c>
      <c r="L4">
        <v>16</v>
      </c>
      <c r="M4">
        <v>15</v>
      </c>
      <c r="N4">
        <v>240</v>
      </c>
      <c r="O4" t="str">
        <v>唐僧</v>
      </c>
    </row>
    <row r="5" customHeight="1" spans="1:15">
      <c r="A5" s="36" t="s">
        <v>21</v>
      </c>
      <c r="B5" s="37" t="s">
        <v>22</v>
      </c>
      <c r="C5" s="37" t="s">
        <v>19</v>
      </c>
      <c r="D5" s="37">
        <v>2</v>
      </c>
      <c r="E5" s="37">
        <v>11.11</v>
      </c>
      <c r="F5" s="37">
        <f t="shared" si="0"/>
        <v>22.22</v>
      </c>
      <c r="G5" s="37" t="s">
        <v>23</v>
      </c>
      <c r="I5" t="str">
        <v>水表</v>
      </c>
      <c r="J5" t="str">
        <v>DN50</v>
      </c>
      <c r="K5" t="str">
        <v>只</v>
      </c>
      <c r="L5">
        <v>1</v>
      </c>
      <c r="M5">
        <v>107.69</v>
      </c>
      <c r="N5">
        <v>107.69</v>
      </c>
      <c r="O5" t="str">
        <v>猪八戒</v>
      </c>
    </row>
    <row r="6" customHeight="1" spans="1:15">
      <c r="A6" s="35" t="s">
        <v>24</v>
      </c>
      <c r="B6" s="35" t="s">
        <v>25</v>
      </c>
      <c r="C6" s="35" t="s">
        <v>19</v>
      </c>
      <c r="D6" s="35">
        <v>16</v>
      </c>
      <c r="E6" s="35">
        <v>15</v>
      </c>
      <c r="F6" s="35">
        <f t="shared" si="0"/>
        <v>240</v>
      </c>
      <c r="G6" s="35" t="s">
        <v>17</v>
      </c>
    </row>
    <row r="7" customHeight="1" spans="1:15">
      <c r="A7" s="36" t="s">
        <v>24</v>
      </c>
      <c r="B7" s="37" t="s">
        <v>26</v>
      </c>
      <c r="C7" s="37" t="s">
        <v>19</v>
      </c>
      <c r="D7" s="37">
        <v>30</v>
      </c>
      <c r="E7" s="37">
        <v>4</v>
      </c>
      <c r="F7" s="37">
        <f t="shared" si="0"/>
        <v>120</v>
      </c>
      <c r="G7" s="37" t="s">
        <v>27</v>
      </c>
    </row>
    <row r="8" customHeight="1" spans="1:15">
      <c r="A8" s="35" t="s">
        <v>24</v>
      </c>
      <c r="B8" s="35" t="s">
        <v>26</v>
      </c>
      <c r="C8" s="35" t="s">
        <v>28</v>
      </c>
      <c r="D8" s="35">
        <v>1</v>
      </c>
      <c r="E8" s="35">
        <v>40</v>
      </c>
      <c r="F8" s="35">
        <f t="shared" si="0"/>
        <v>40</v>
      </c>
      <c r="G8" s="35" t="s">
        <v>17</v>
      </c>
    </row>
    <row r="9" customHeight="1" spans="1:15">
      <c r="A9" s="36" t="s">
        <v>29</v>
      </c>
      <c r="B9" s="37" t="s">
        <v>30</v>
      </c>
      <c r="C9" s="37" t="s">
        <v>19</v>
      </c>
      <c r="D9" s="37">
        <v>12</v>
      </c>
      <c r="E9" s="37">
        <v>0.94</v>
      </c>
      <c r="F9" s="37">
        <f t="shared" si="0"/>
        <v>11.28</v>
      </c>
      <c r="G9" s="37" t="s">
        <v>27</v>
      </c>
    </row>
    <row r="10" customHeight="1" spans="1:15">
      <c r="A10" s="35" t="s">
        <v>29</v>
      </c>
      <c r="B10" s="35" t="s">
        <v>31</v>
      </c>
      <c r="C10" s="35" t="s">
        <v>19</v>
      </c>
      <c r="D10" s="35">
        <v>3</v>
      </c>
      <c r="E10" s="35">
        <v>0.01</v>
      </c>
      <c r="F10" s="35">
        <f t="shared" si="0"/>
        <v>0.03</v>
      </c>
      <c r="G10" s="35" t="s">
        <v>23</v>
      </c>
    </row>
    <row r="11" customHeight="1" spans="1:15">
      <c r="A11" s="36" t="s">
        <v>32</v>
      </c>
      <c r="B11" s="37" t="s">
        <v>33</v>
      </c>
      <c r="C11" s="37" t="s">
        <v>34</v>
      </c>
      <c r="D11" s="37">
        <v>1</v>
      </c>
      <c r="E11" s="37">
        <v>5</v>
      </c>
      <c r="F11" s="37">
        <f t="shared" si="0"/>
        <v>5</v>
      </c>
      <c r="G11" s="37" t="s">
        <v>27</v>
      </c>
    </row>
    <row r="12" customHeight="1" spans="1:15">
      <c r="A12" s="35" t="s">
        <v>35</v>
      </c>
      <c r="B12" s="35" t="s">
        <v>36</v>
      </c>
      <c r="C12" s="35" t="s">
        <v>19</v>
      </c>
      <c r="D12" s="35">
        <v>300</v>
      </c>
      <c r="E12" s="35">
        <v>0.53</v>
      </c>
      <c r="F12" s="35">
        <f t="shared" si="0"/>
        <v>159</v>
      </c>
      <c r="G12" s="35" t="s">
        <v>20</v>
      </c>
    </row>
    <row r="13" customHeight="1" spans="1:15">
      <c r="A13" s="36" t="s">
        <v>14</v>
      </c>
      <c r="B13" s="37" t="s">
        <v>15</v>
      </c>
      <c r="C13" s="37" t="s">
        <v>16</v>
      </c>
      <c r="D13" s="37">
        <v>1</v>
      </c>
      <c r="E13" s="37">
        <v>107.69</v>
      </c>
      <c r="F13" s="37">
        <f t="shared" si="0"/>
        <v>107.69</v>
      </c>
      <c r="G13" s="37" t="s">
        <v>17</v>
      </c>
    </row>
    <row r="14" customHeight="1" spans="1:15">
      <c r="A14" s="35" t="s">
        <v>37</v>
      </c>
      <c r="B14" s="35">
        <v>12</v>
      </c>
      <c r="C14" s="35" t="s">
        <v>19</v>
      </c>
      <c r="D14" s="35">
        <v>1</v>
      </c>
      <c r="E14" s="35">
        <v>5</v>
      </c>
      <c r="F14" s="35">
        <f t="shared" si="0"/>
        <v>5</v>
      </c>
      <c r="G14" s="35" t="s">
        <v>27</v>
      </c>
    </row>
    <row r="15" customHeight="1" spans="1:15">
      <c r="A15" s="36" t="s">
        <v>38</v>
      </c>
      <c r="B15" s="37" t="s">
        <v>39</v>
      </c>
      <c r="C15" s="37" t="s">
        <v>40</v>
      </c>
      <c r="D15" s="37">
        <v>900</v>
      </c>
      <c r="E15" s="37">
        <v>4.96</v>
      </c>
      <c r="F15" s="37">
        <f t="shared" si="0"/>
        <v>4464</v>
      </c>
      <c r="G15" s="37" t="s">
        <v>20</v>
      </c>
    </row>
    <row r="16" customHeight="1" spans="1:15">
      <c r="A16" s="35" t="s">
        <v>37</v>
      </c>
      <c r="B16" s="35">
        <v>12</v>
      </c>
      <c r="C16" s="35" t="s">
        <v>19</v>
      </c>
      <c r="D16" s="35">
        <v>30</v>
      </c>
      <c r="E16" s="35">
        <v>5</v>
      </c>
      <c r="F16" s="35">
        <f t="shared" si="0"/>
        <v>150</v>
      </c>
      <c r="G16" s="35" t="s">
        <v>20</v>
      </c>
    </row>
    <row r="17" customHeight="1" spans="1:7">
      <c r="A17" s="36" t="s">
        <v>29</v>
      </c>
      <c r="B17" s="37" t="s">
        <v>26</v>
      </c>
      <c r="C17" s="37" t="s">
        <v>19</v>
      </c>
      <c r="D17" s="37">
        <v>1</v>
      </c>
      <c r="E17" s="37">
        <v>0.4</v>
      </c>
      <c r="F17" s="37">
        <f t="shared" si="0"/>
        <v>0.4</v>
      </c>
      <c r="G17" s="37" t="s">
        <v>23</v>
      </c>
    </row>
    <row r="18" customHeight="1" spans="1:7">
      <c r="A18" s="35" t="s">
        <v>38</v>
      </c>
      <c r="B18" s="35" t="s">
        <v>39</v>
      </c>
      <c r="C18" s="35" t="s">
        <v>40</v>
      </c>
      <c r="D18" s="35">
        <v>4</v>
      </c>
      <c r="E18" s="35">
        <v>4.96</v>
      </c>
      <c r="F18" s="35">
        <f t="shared" si="0"/>
        <v>19.84</v>
      </c>
      <c r="G18" s="35" t="s">
        <v>17</v>
      </c>
    </row>
    <row r="19" customHeight="1" spans="1:7">
      <c r="A19" s="36" t="s">
        <v>21</v>
      </c>
      <c r="B19" s="37" t="s">
        <v>22</v>
      </c>
      <c r="C19" s="37" t="s">
        <v>19</v>
      </c>
      <c r="D19" s="37">
        <v>12</v>
      </c>
      <c r="E19" s="37">
        <v>11.11</v>
      </c>
      <c r="F19" s="37">
        <f t="shared" si="0"/>
        <v>133.32</v>
      </c>
      <c r="G19" s="37" t="s">
        <v>17</v>
      </c>
    </row>
    <row r="20" customHeight="1" spans="1:7">
      <c r="A20" s="35" t="s">
        <v>41</v>
      </c>
      <c r="B20" s="35" t="s">
        <v>31</v>
      </c>
      <c r="C20" s="35" t="s">
        <v>19</v>
      </c>
      <c r="D20" s="35">
        <v>16</v>
      </c>
      <c r="E20" s="35">
        <v>0.01</v>
      </c>
      <c r="F20" s="35">
        <f t="shared" si="0"/>
        <v>0.16</v>
      </c>
      <c r="G20" s="35" t="s">
        <v>27</v>
      </c>
    </row>
    <row r="21" customHeight="1" spans="1:7">
      <c r="A21" s="36" t="s">
        <v>24</v>
      </c>
      <c r="B21" s="37" t="s">
        <v>42</v>
      </c>
      <c r="C21" s="37" t="s">
        <v>19</v>
      </c>
      <c r="D21" s="37">
        <v>1</v>
      </c>
      <c r="E21" s="37">
        <v>15</v>
      </c>
      <c r="F21" s="37">
        <f t="shared" si="0"/>
        <v>15</v>
      </c>
      <c r="G21" s="37" t="s">
        <v>27</v>
      </c>
    </row>
    <row r="22" customHeight="1" spans="1:7">
      <c r="A22" s="35" t="s">
        <v>35</v>
      </c>
      <c r="B22" s="35" t="s">
        <v>36</v>
      </c>
      <c r="C22" s="35" t="s">
        <v>19</v>
      </c>
      <c r="D22" s="35">
        <v>12</v>
      </c>
      <c r="E22" s="35">
        <v>0.53</v>
      </c>
      <c r="F22" s="35">
        <f t="shared" si="0"/>
        <v>6.36</v>
      </c>
      <c r="G22" s="35" t="s">
        <v>20</v>
      </c>
    </row>
    <row r="23" customHeight="1" spans="1:7">
      <c r="A23" s="36" t="s">
        <v>32</v>
      </c>
      <c r="B23" s="37" t="s">
        <v>33</v>
      </c>
      <c r="C23" s="37" t="s">
        <v>34</v>
      </c>
      <c r="D23" s="37">
        <v>3</v>
      </c>
      <c r="E23" s="37">
        <v>5</v>
      </c>
      <c r="F23" s="37">
        <f t="shared" si="0"/>
        <v>15</v>
      </c>
      <c r="G23" s="37" t="s">
        <v>23</v>
      </c>
    </row>
  </sheetData>
  <dataValidations count="1">
    <dataValidation type="list" allowBlank="1" showInputMessage="1" showErrorMessage="1" sqref="K1">
      <formula1>"水表,绳卡,槽钢"</formula1>
    </dataValidation>
  </dataValidation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O26"/>
  <sheetViews>
    <sheetView workbookViewId="0">
      <selection activeCell="I8" sqref="I8"/>
    </sheetView>
  </sheetViews>
  <sheetFormatPr defaultColWidth="8.88461538461539" defaultRowHeight="23" customHeight="1"/>
  <cols>
    <col min="1" max="1" width="15.5096153846154" style="23" customWidth="1"/>
    <col min="2" max="2" width="10.2980769230769" style="23" customWidth="1"/>
    <col min="3" max="3" width="7.42307692307692" style="23" customWidth="1"/>
    <col min="4" max="4" width="5.33653846153846" style="23" customWidth="1"/>
    <col min="5" max="6" width="9" style="23" customWidth="1"/>
    <col min="7" max="7" width="8.75" style="23" customWidth="1"/>
    <col min="8" max="8" width="8.88461538461539" style="23"/>
    <col min="9" max="9" width="13.9519230769231" style="25" customWidth="1"/>
    <col min="10" max="10" width="12.0673076923077" style="25" customWidth="1"/>
    <col min="11" max="11" width="13.0673076923077" style="23" customWidth="1"/>
    <col min="12" max="16384" width="8.88461538461539" style="23"/>
  </cols>
  <sheetData>
    <row r="1" s="23" customFormat="1" customHeight="1" spans="1:15">
      <c r="A1" s="26">
        <v>2</v>
      </c>
      <c r="B1" s="26">
        <v>3</v>
      </c>
      <c r="C1" s="26">
        <v>4</v>
      </c>
      <c r="D1" s="26">
        <v>5</v>
      </c>
      <c r="E1" s="26">
        <v>6</v>
      </c>
      <c r="F1" s="26">
        <v>7</v>
      </c>
      <c r="G1" s="26">
        <v>8</v>
      </c>
      <c r="I1" s="27" t="s">
        <v>46</v>
      </c>
      <c r="J1" s="27"/>
      <c r="K1" s="28"/>
    </row>
    <row r="2" s="23" customFormat="1" customHeight="1" spans="1:15">
      <c r="A2" s="29" t="s">
        <v>1</v>
      </c>
      <c r="B2" s="30" t="s">
        <v>2</v>
      </c>
      <c r="C2" s="30" t="s">
        <v>3</v>
      </c>
      <c r="D2" s="30" t="s">
        <v>4</v>
      </c>
      <c r="E2" s="30" t="s">
        <v>5</v>
      </c>
      <c r="F2" s="30" t="s">
        <v>6</v>
      </c>
      <c r="G2" s="30" t="s">
        <v>11</v>
      </c>
      <c r="I2" s="31" t="s">
        <v>11</v>
      </c>
      <c r="J2" s="32"/>
      <c r="K2" s="32"/>
      <c r="L2" s="32"/>
      <c r="M2" s="32"/>
      <c r="N2" s="32"/>
      <c r="O2" s="32"/>
    </row>
    <row r="3" s="23" customFormat="1" customHeight="1" spans="1:15">
      <c r="A3" s="33" t="s">
        <v>14</v>
      </c>
      <c r="B3" s="34" t="s">
        <v>15</v>
      </c>
      <c r="C3" s="34" t="s">
        <v>16</v>
      </c>
      <c r="D3" s="34">
        <v>1</v>
      </c>
      <c r="E3" s="34">
        <v>107.69</v>
      </c>
      <c r="F3" s="34">
        <f t="shared" ref="F3:F23" si="0">D3*E3</f>
        <v>107.69</v>
      </c>
      <c r="G3" s="34" t="s">
        <v>17</v>
      </c>
      <c r="I3" s="25" t="str">
        <f ca="1">_xlfn.UNIQUE(INDIRECT("A3:A"&amp;COUNTA(A:A)))</f>
        <v>水表</v>
      </c>
      <c r="J3" s="25" t="str">
        <f ca="1">VLOOKUP(_xlfn.ANCHORARRAY(I3),A:B,2,0)</f>
        <v>DN50</v>
      </c>
    </row>
    <row r="4" s="23" customFormat="1" customHeight="1" spans="1:15">
      <c r="A4" s="35" t="s">
        <v>14</v>
      </c>
      <c r="B4" s="35" t="s">
        <v>18</v>
      </c>
      <c r="C4" s="35" t="s">
        <v>19</v>
      </c>
      <c r="D4" s="35">
        <v>16</v>
      </c>
      <c r="E4" s="35">
        <v>15</v>
      </c>
      <c r="F4" s="35">
        <f t="shared" si="0"/>
        <v>240</v>
      </c>
      <c r="G4" s="35" t="s">
        <v>20</v>
      </c>
      <c r="I4" s="25" t="s">
        <v>21</v>
      </c>
      <c r="J4" s="25" t="s">
        <v>22</v>
      </c>
    </row>
    <row r="5" s="23" customFormat="1" customHeight="1" spans="1:15">
      <c r="A5" s="36" t="s">
        <v>21</v>
      </c>
      <c r="B5" s="37" t="s">
        <v>22</v>
      </c>
      <c r="C5" s="37" t="s">
        <v>19</v>
      </c>
      <c r="D5" s="37">
        <v>2</v>
      </c>
      <c r="E5" s="37">
        <v>11.11</v>
      </c>
      <c r="F5" s="37">
        <f t="shared" si="0"/>
        <v>22.22</v>
      </c>
      <c r="G5" s="37" t="s">
        <v>23</v>
      </c>
      <c r="I5" s="25" t="s">
        <v>24</v>
      </c>
      <c r="J5" s="25" t="s">
        <v>25</v>
      </c>
    </row>
    <row r="6" s="23" customFormat="1" customHeight="1" spans="1:15">
      <c r="A6" s="35" t="s">
        <v>24</v>
      </c>
      <c r="B6" s="35" t="s">
        <v>25</v>
      </c>
      <c r="C6" s="35" t="s">
        <v>19</v>
      </c>
      <c r="D6" s="35">
        <v>16</v>
      </c>
      <c r="E6" s="35">
        <v>15</v>
      </c>
      <c r="F6" s="35">
        <f t="shared" si="0"/>
        <v>240</v>
      </c>
      <c r="G6" s="35" t="s">
        <v>17</v>
      </c>
      <c r="I6" s="25" t="s">
        <v>29</v>
      </c>
      <c r="J6" s="25" t="s">
        <v>30</v>
      </c>
    </row>
    <row r="7" s="23" customFormat="1" customHeight="1" spans="1:15">
      <c r="A7" s="36" t="s">
        <v>24</v>
      </c>
      <c r="B7" s="37" t="s">
        <v>26</v>
      </c>
      <c r="C7" s="37" t="s">
        <v>19</v>
      </c>
      <c r="D7" s="37">
        <v>30</v>
      </c>
      <c r="E7" s="37">
        <v>4</v>
      </c>
      <c r="F7" s="37">
        <f t="shared" si="0"/>
        <v>120</v>
      </c>
      <c r="G7" s="37" t="s">
        <v>27</v>
      </c>
      <c r="I7" s="25" t="s">
        <v>32</v>
      </c>
      <c r="J7" s="25" t="s">
        <v>33</v>
      </c>
    </row>
    <row r="8" s="23" customFormat="1" customHeight="1" spans="1:15">
      <c r="A8" s="35" t="s">
        <v>24</v>
      </c>
      <c r="B8" s="35" t="s">
        <v>26</v>
      </c>
      <c r="C8" s="35" t="s">
        <v>28</v>
      </c>
      <c r="D8" s="35">
        <v>1</v>
      </c>
      <c r="E8" s="35">
        <v>40</v>
      </c>
      <c r="F8" s="35">
        <f t="shared" si="0"/>
        <v>40</v>
      </c>
      <c r="G8" s="35" t="s">
        <v>17</v>
      </c>
      <c r="I8" s="25" t="s">
        <v>35</v>
      </c>
      <c r="J8" s="25" t="s">
        <v>36</v>
      </c>
    </row>
    <row r="9" s="23" customFormat="1" customHeight="1" spans="1:15">
      <c r="A9" s="36" t="s">
        <v>29</v>
      </c>
      <c r="B9" s="37" t="s">
        <v>30</v>
      </c>
      <c r="C9" s="37" t="s">
        <v>19</v>
      </c>
      <c r="D9" s="37">
        <v>12</v>
      </c>
      <c r="E9" s="37">
        <v>0.94</v>
      </c>
      <c r="F9" s="37">
        <f t="shared" si="0"/>
        <v>11.28</v>
      </c>
      <c r="G9" s="37" t="s">
        <v>27</v>
      </c>
      <c r="I9" s="25" t="s">
        <v>37</v>
      </c>
      <c r="J9" s="25">
        <v>12</v>
      </c>
    </row>
    <row r="10" s="23" customFormat="1" customHeight="1" spans="1:15">
      <c r="A10" s="35" t="s">
        <v>29</v>
      </c>
      <c r="B10" s="35" t="s">
        <v>31</v>
      </c>
      <c r="C10" s="35" t="s">
        <v>19</v>
      </c>
      <c r="D10" s="35">
        <v>3</v>
      </c>
      <c r="E10" s="35">
        <v>0.01</v>
      </c>
      <c r="F10" s="35">
        <f t="shared" si="0"/>
        <v>0.03</v>
      </c>
      <c r="G10" s="35" t="s">
        <v>23</v>
      </c>
      <c r="I10" s="25" t="s">
        <v>38</v>
      </c>
      <c r="J10" s="25" t="s">
        <v>39</v>
      </c>
    </row>
    <row r="11" s="23" customFormat="1" customHeight="1" spans="1:15">
      <c r="A11" s="36" t="s">
        <v>32</v>
      </c>
      <c r="B11" s="37" t="s">
        <v>33</v>
      </c>
      <c r="C11" s="37" t="s">
        <v>34</v>
      </c>
      <c r="D11" s="37">
        <v>1</v>
      </c>
      <c r="E11" s="37">
        <v>5</v>
      </c>
      <c r="F11" s="37">
        <f t="shared" si="0"/>
        <v>5</v>
      </c>
      <c r="G11" s="37" t="s">
        <v>27</v>
      </c>
      <c r="I11" s="25" t="s">
        <v>41</v>
      </c>
      <c r="J11" s="25" t="s">
        <v>31</v>
      </c>
    </row>
    <row r="12" s="23" customFormat="1" customHeight="1" spans="1:15">
      <c r="A12" s="35" t="s">
        <v>35</v>
      </c>
      <c r="B12" s="35" t="s">
        <v>36</v>
      </c>
      <c r="C12" s="35" t="s">
        <v>19</v>
      </c>
      <c r="D12" s="35">
        <v>300</v>
      </c>
      <c r="E12" s="35">
        <v>0.53</v>
      </c>
      <c r="F12" s="35">
        <f t="shared" si="0"/>
        <v>159</v>
      </c>
      <c r="G12" s="35" t="s">
        <v>20</v>
      </c>
      <c r="I12" s="25" t="s">
        <v>47</v>
      </c>
      <c r="J12" s="25">
        <v>0</v>
      </c>
    </row>
    <row r="13" s="23" customFormat="1" customHeight="1" spans="1:15">
      <c r="A13" s="36" t="s">
        <v>14</v>
      </c>
      <c r="B13" s="37" t="s">
        <v>15</v>
      </c>
      <c r="C13" s="37" t="s">
        <v>16</v>
      </c>
      <c r="D13" s="37">
        <v>1</v>
      </c>
      <c r="E13" s="37">
        <v>107.69</v>
      </c>
      <c r="F13" s="37">
        <f t="shared" si="0"/>
        <v>107.69</v>
      </c>
      <c r="G13" s="37" t="s">
        <v>17</v>
      </c>
      <c r="I13" s="25" t="s">
        <v>48</v>
      </c>
      <c r="J13" s="25">
        <v>0</v>
      </c>
    </row>
    <row r="14" s="23" customFormat="1" customHeight="1" spans="1:15">
      <c r="A14" s="35" t="s">
        <v>37</v>
      </c>
      <c r="B14" s="35">
        <v>12</v>
      </c>
      <c r="C14" s="35" t="s">
        <v>19</v>
      </c>
      <c r="D14" s="35">
        <v>1</v>
      </c>
      <c r="E14" s="35">
        <v>5</v>
      </c>
      <c r="F14" s="35">
        <f t="shared" si="0"/>
        <v>5</v>
      </c>
      <c r="G14" s="35" t="s">
        <v>27</v>
      </c>
      <c r="I14" s="25" t="s">
        <v>49</v>
      </c>
      <c r="J14" s="25">
        <v>0</v>
      </c>
    </row>
    <row r="15" s="23" customFormat="1" customHeight="1" spans="1:15">
      <c r="A15" s="36" t="s">
        <v>38</v>
      </c>
      <c r="B15" s="37" t="s">
        <v>39</v>
      </c>
      <c r="C15" s="37" t="s">
        <v>40</v>
      </c>
      <c r="D15" s="37">
        <v>900</v>
      </c>
      <c r="E15" s="37">
        <v>4.96</v>
      </c>
      <c r="F15" s="37">
        <f t="shared" si="0"/>
        <v>4464</v>
      </c>
      <c r="G15" s="37" t="s">
        <v>20</v>
      </c>
      <c r="I15" s="25"/>
      <c r="J15" s="25"/>
    </row>
    <row r="16" s="23" customFormat="1" customHeight="1" spans="1:15">
      <c r="A16" s="35" t="s">
        <v>37</v>
      </c>
      <c r="B16" s="35">
        <v>12</v>
      </c>
      <c r="C16" s="35" t="s">
        <v>19</v>
      </c>
      <c r="D16" s="35">
        <v>30</v>
      </c>
      <c r="E16" s="35">
        <v>5</v>
      </c>
      <c r="F16" s="35">
        <f t="shared" si="0"/>
        <v>150</v>
      </c>
      <c r="G16" s="35" t="s">
        <v>20</v>
      </c>
      <c r="I16" s="25"/>
      <c r="J16" s="25"/>
    </row>
    <row r="17" s="23" customFormat="1" customHeight="1" spans="1:10">
      <c r="A17" s="36" t="s">
        <v>29</v>
      </c>
      <c r="B17" s="37" t="s">
        <v>26</v>
      </c>
      <c r="C17" s="37" t="s">
        <v>19</v>
      </c>
      <c r="D17" s="37">
        <v>1</v>
      </c>
      <c r="E17" s="37">
        <v>0.4</v>
      </c>
      <c r="F17" s="37">
        <f t="shared" si="0"/>
        <v>0.4</v>
      </c>
      <c r="G17" s="37" t="s">
        <v>23</v>
      </c>
      <c r="I17" s="25"/>
      <c r="J17" s="25"/>
    </row>
    <row r="18" s="23" customFormat="1" customHeight="1" spans="1:10">
      <c r="A18" s="35" t="s">
        <v>38</v>
      </c>
      <c r="B18" s="35" t="s">
        <v>39</v>
      </c>
      <c r="C18" s="35" t="s">
        <v>40</v>
      </c>
      <c r="D18" s="35">
        <v>4</v>
      </c>
      <c r="E18" s="35">
        <v>4.96</v>
      </c>
      <c r="F18" s="35">
        <f t="shared" si="0"/>
        <v>19.84</v>
      </c>
      <c r="G18" s="35" t="s">
        <v>17</v>
      </c>
      <c r="I18" s="25"/>
      <c r="J18" s="25"/>
    </row>
    <row r="19" s="23" customFormat="1" customHeight="1" spans="1:10">
      <c r="A19" s="36" t="s">
        <v>21</v>
      </c>
      <c r="B19" s="37" t="s">
        <v>22</v>
      </c>
      <c r="C19" s="37" t="s">
        <v>19</v>
      </c>
      <c r="D19" s="37">
        <v>12</v>
      </c>
      <c r="E19" s="37">
        <v>11.11</v>
      </c>
      <c r="F19" s="37">
        <f t="shared" si="0"/>
        <v>133.32</v>
      </c>
      <c r="G19" s="37" t="s">
        <v>17</v>
      </c>
      <c r="I19" s="25"/>
      <c r="J19" s="25"/>
    </row>
    <row r="20" s="23" customFormat="1" customHeight="1" spans="1:10">
      <c r="A20" s="35" t="s">
        <v>41</v>
      </c>
      <c r="B20" s="35" t="s">
        <v>31</v>
      </c>
      <c r="C20" s="35" t="s">
        <v>19</v>
      </c>
      <c r="D20" s="35">
        <v>16</v>
      </c>
      <c r="E20" s="35">
        <v>0.01</v>
      </c>
      <c r="F20" s="35">
        <f t="shared" si="0"/>
        <v>0.16</v>
      </c>
      <c r="G20" s="35" t="s">
        <v>27</v>
      </c>
      <c r="I20" s="25"/>
      <c r="J20" s="25"/>
    </row>
    <row r="21" s="23" customFormat="1" customHeight="1" spans="1:10">
      <c r="A21" s="36" t="s">
        <v>24</v>
      </c>
      <c r="B21" s="37" t="s">
        <v>42</v>
      </c>
      <c r="C21" s="37" t="s">
        <v>19</v>
      </c>
      <c r="D21" s="37">
        <v>1</v>
      </c>
      <c r="E21" s="37">
        <v>15</v>
      </c>
      <c r="F21" s="37">
        <f t="shared" si="0"/>
        <v>15</v>
      </c>
      <c r="G21" s="37" t="s">
        <v>27</v>
      </c>
      <c r="I21" s="25"/>
      <c r="J21" s="25"/>
    </row>
    <row r="22" s="23" customFormat="1" customHeight="1" spans="1:10">
      <c r="A22" s="35" t="s">
        <v>35</v>
      </c>
      <c r="B22" s="35" t="s">
        <v>36</v>
      </c>
      <c r="C22" s="35" t="s">
        <v>19</v>
      </c>
      <c r="D22" s="35">
        <v>12</v>
      </c>
      <c r="E22" s="35">
        <v>0.53</v>
      </c>
      <c r="F22" s="35">
        <f t="shared" si="0"/>
        <v>6.36</v>
      </c>
      <c r="G22" s="35" t="s">
        <v>20</v>
      </c>
      <c r="I22" s="25"/>
      <c r="J22" s="25"/>
    </row>
    <row r="23" s="23" customFormat="1" customHeight="1" spans="1:10">
      <c r="A23" s="36" t="s">
        <v>32</v>
      </c>
      <c r="B23" s="37" t="s">
        <v>33</v>
      </c>
      <c r="C23" s="37" t="s">
        <v>34</v>
      </c>
      <c r="D23" s="37">
        <v>3</v>
      </c>
      <c r="E23" s="37">
        <v>5</v>
      </c>
      <c r="F23" s="37">
        <f t="shared" si="0"/>
        <v>15</v>
      </c>
      <c r="G23" s="37" t="s">
        <v>23</v>
      </c>
      <c r="I23" s="25"/>
      <c r="J23" s="25"/>
    </row>
    <row r="24" customHeight="1" spans="1:10">
      <c r="A24" s="23" t="s">
        <v>47</v>
      </c>
    </row>
    <row r="25" customHeight="1" spans="1:10">
      <c r="A25" s="23" t="s">
        <v>48</v>
      </c>
    </row>
    <row r="26" customHeight="1" spans="1:10">
      <c r="A26" s="23" t="s">
        <v>49</v>
      </c>
    </row>
  </sheetData>
  <dataValidations count="1">
    <dataValidation type="list" allowBlank="1" showInputMessage="1" showErrorMessage="1" sqref="K1">
      <formula1>"水表,绳卡,槽钢"</formula1>
    </dataValidation>
  </dataValidation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U7"/>
  <sheetViews>
    <sheetView tabSelected="1" topLeftCell="H1" workbookViewId="0">
      <selection activeCell="T5" sqref="T5"/>
    </sheetView>
  </sheetViews>
  <sheetFormatPr defaultColWidth="8.88461538461539" defaultRowHeight="16.8" outlineLevelRow="6"/>
  <cols>
    <col min="1" max="1" width="8.88461538461539" style="23"/>
    <col min="2" max="2" width="6.30769230769231" style="23" customWidth="1"/>
    <col min="3" max="4" width="8.88461538461539" style="23"/>
    <col min="5" max="5" width="8.41346153846154" style="23" customWidth="1"/>
    <col min="6" max="6" width="11.625" style="23" customWidth="1"/>
    <col min="7" max="7" width="20.5" style="23" customWidth="1"/>
    <col min="8" max="8" width="9.65384615384615" style="23"/>
    <col min="9" max="16" width="8.88461538461539" style="23"/>
    <col min="17" max="17" width="9.65384615384615" style="23"/>
    <col min="18" max="16384" width="8.88461538461539" style="23"/>
  </cols>
  <sheetData>
    <row r="1" spans="1:21">
      <c r="A1" s="23" t="s">
        <v>50</v>
      </c>
      <c r="D1" s="23" t="s">
        <v>51</v>
      </c>
      <c r="N1" s="23" t="s">
        <v>52</v>
      </c>
      <c r="O1" s="24">
        <v>3</v>
      </c>
    </row>
    <row r="2" spans="1:21">
      <c r="A2" s="23" t="s">
        <v>47</v>
      </c>
      <c r="B2" s="23">
        <v>1</v>
      </c>
      <c r="D2" s="23" t="s">
        <v>47</v>
      </c>
      <c r="E2" s="23" t="str" cm="1">
        <f t="array" ref="E2:F4">k("$$.leftjoin",D2:D4,A2:B7,"f1","f1","a.f1,b.f2")</f>
        <v>A</v>
      </c>
      <c r="F2">
        <v>1</v>
      </c>
      <c r="H2" s="23" t="str" cm="1">
        <f t="array" ref="H2:I4">k("(a,v)=&gt;a.filter(x=&gt;x[1]&gt;v)",A2:B7,O1)</f>
        <v>D</v>
      </c>
      <c r="I2">
        <v>4</v>
      </c>
      <c r="K2" s="23" t="str" cm="1">
        <f t="array" ref="K2:L4">testfilter(A2:B7)</f>
        <v>D</v>
      </c>
      <c r="L2">
        <v>4</v>
      </c>
      <c r="N2" s="23">
        <f>SUM(k("(arr,v)=&gt;arr.map(x=&gt;[x.f2+v])",A2:B7,O1))</f>
        <v>39</v>
      </c>
      <c r="Q2" s="23" t="str" cm="1">
        <f t="array" ref="Q2:Q6">k("arr=&gt;$$.distinct(arr,'f1')",A2:B7)</f>
        <v>A</v>
      </c>
      <c r="T2" s="23" t="str" cm="1">
        <f t="array" ref="T2:U7">k("(arr,v)=&gt;arr.map(x=&gt;[x.f1,x.f2+v])",A2:B7,O1)</f>
        <v>A</v>
      </c>
      <c r="U2">
        <v>4</v>
      </c>
    </row>
    <row r="3" spans="1:21">
      <c r="A3" s="23" t="s">
        <v>48</v>
      </c>
      <c r="B3" s="23">
        <v>2</v>
      </c>
      <c r="D3" s="23" t="s">
        <v>53</v>
      </c>
      <c r="E3" t="str">
        <v>D</v>
      </c>
      <c r="F3">
        <v>4</v>
      </c>
      <c r="H3" t="str">
        <v>A</v>
      </c>
      <c r="I3">
        <v>5</v>
      </c>
      <c r="K3" t="str">
        <v>A</v>
      </c>
      <c r="L3">
        <v>5</v>
      </c>
      <c r="Q3" t="str">
        <v>B</v>
      </c>
      <c r="T3" t="str">
        <v>B</v>
      </c>
      <c r="U3">
        <v>5</v>
      </c>
    </row>
    <row r="4" spans="1:21">
      <c r="A4" s="23" t="s">
        <v>49</v>
      </c>
      <c r="B4" s="23">
        <v>3</v>
      </c>
      <c r="D4" s="23" t="s">
        <v>54</v>
      </c>
      <c r="E4" t="str">
        <v>F</v>
      </c>
      <c r="F4">
        <v>6</v>
      </c>
      <c r="H4" t="str">
        <v>F</v>
      </c>
      <c r="I4">
        <v>6</v>
      </c>
      <c r="K4" t="str">
        <v>F</v>
      </c>
      <c r="L4">
        <v>6</v>
      </c>
      <c r="Q4" t="str">
        <v>C</v>
      </c>
      <c r="T4" t="str">
        <v>C</v>
      </c>
      <c r="U4">
        <v>6</v>
      </c>
    </row>
    <row r="5" spans="1:21">
      <c r="A5" s="23" t="s">
        <v>53</v>
      </c>
      <c r="B5" s="23">
        <v>4</v>
      </c>
      <c r="Q5" t="str">
        <v>D</v>
      </c>
      <c r="T5" t="str">
        <v>D</v>
      </c>
      <c r="U5">
        <v>7</v>
      </c>
    </row>
    <row r="6" spans="1:21">
      <c r="A6" s="23" t="s">
        <v>47</v>
      </c>
      <c r="B6" s="23">
        <v>5</v>
      </c>
      <c r="Q6" t="str">
        <v>F</v>
      </c>
      <c r="T6" t="str">
        <v>A</v>
      </c>
      <c r="U6">
        <v>8</v>
      </c>
    </row>
    <row r="7" spans="1:21">
      <c r="A7" s="23" t="s">
        <v>54</v>
      </c>
      <c r="B7" s="23">
        <v>6</v>
      </c>
      <c r="T7" t="str">
        <v>F</v>
      </c>
      <c r="U7">
        <v>9</v>
      </c>
    </row>
  </sheetData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L30"/>
  <sheetViews>
    <sheetView workbookViewId="0">
      <selection activeCell="F10" sqref="F10"/>
    </sheetView>
  </sheetViews>
  <sheetFormatPr defaultColWidth="8.88461538461539" defaultRowHeight="19.2"/>
  <cols>
    <col min="1" max="1" width="12.7788461538462" style="16" customWidth="1"/>
    <col min="2" max="2" width="10" style="16"/>
    <col min="3" max="3" width="14.1057692307692" style="16" customWidth="1"/>
    <col min="4" max="5" width="10" style="17"/>
    <col min="6" max="6" width="10.5576923076923" style="17" customWidth="1"/>
    <col min="7" max="7" width="10.6634615384615" style="16" customWidth="1"/>
    <col min="8" max="8" width="10.4423076923077" style="16"/>
    <col min="9" max="10" width="10.4423076923077" style="16" customWidth="1"/>
    <col min="11" max="12" width="10" style="17"/>
  </cols>
  <sheetData>
    <row r="1" spans="1:12">
      <c r="A1" s="18" t="s">
        <v>55</v>
      </c>
      <c r="B1" s="18" t="s">
        <v>56</v>
      </c>
      <c r="C1" s="18" t="s">
        <v>4</v>
      </c>
      <c r="F1" s="19" t="s">
        <v>55</v>
      </c>
      <c r="G1" s="20" t="s">
        <v>57</v>
      </c>
      <c r="H1" s="20" t="s">
        <v>58</v>
      </c>
      <c r="I1" s="20" t="s">
        <v>59</v>
      </c>
      <c r="J1" s="20" t="s">
        <v>60</v>
      </c>
    </row>
    <row r="2" spans="1:12">
      <c r="A2" s="21" t="s">
        <v>47</v>
      </c>
      <c r="B2" s="21" t="s">
        <v>57</v>
      </c>
      <c r="C2" s="21">
        <v>100</v>
      </c>
      <c r="F2" s="22" t="s">
        <v>47</v>
      </c>
      <c r="G2" s="22">
        <v>1200</v>
      </c>
      <c r="H2" s="22">
        <v>500</v>
      </c>
      <c r="I2" s="22">
        <v>1300</v>
      </c>
      <c r="J2" s="22">
        <v>3000</v>
      </c>
    </row>
    <row r="3" spans="1:12">
      <c r="A3" s="21" t="s">
        <v>47</v>
      </c>
      <c r="B3" s="21" t="s">
        <v>57</v>
      </c>
      <c r="C3" s="21">
        <v>200</v>
      </c>
      <c r="F3" s="22" t="s">
        <v>49</v>
      </c>
      <c r="G3" s="22">
        <v>1400</v>
      </c>
      <c r="H3" s="22">
        <v>700</v>
      </c>
      <c r="I3" s="22">
        <v>1500</v>
      </c>
      <c r="J3" s="22">
        <v>3600</v>
      </c>
    </row>
    <row r="4" spans="1:12">
      <c r="A4" s="21" t="s">
        <v>49</v>
      </c>
      <c r="B4" s="21" t="s">
        <v>57</v>
      </c>
      <c r="C4" s="21">
        <v>300</v>
      </c>
      <c r="F4" s="22" t="s">
        <v>53</v>
      </c>
      <c r="G4" s="22">
        <v>1600</v>
      </c>
      <c r="H4" s="22">
        <v>800</v>
      </c>
      <c r="I4" s="22">
        <v>1600</v>
      </c>
      <c r="J4" s="22">
        <v>4000</v>
      </c>
    </row>
    <row r="5" spans="1:12">
      <c r="A5" s="21" t="s">
        <v>53</v>
      </c>
      <c r="B5" s="21" t="s">
        <v>57</v>
      </c>
      <c r="C5" s="21">
        <v>400</v>
      </c>
      <c r="F5" s="22" t="s">
        <v>48</v>
      </c>
      <c r="G5" s="22">
        <v>1000</v>
      </c>
      <c r="H5" s="22">
        <v>600</v>
      </c>
      <c r="I5" s="22">
        <v>1400</v>
      </c>
      <c r="J5" s="22">
        <v>3000</v>
      </c>
    </row>
    <row r="6" spans="1:12">
      <c r="A6" s="21" t="s">
        <v>47</v>
      </c>
      <c r="B6" s="21" t="s">
        <v>58</v>
      </c>
      <c r="C6" s="21">
        <v>500</v>
      </c>
    </row>
    <row r="7" spans="1:12">
      <c r="A7" s="21" t="s">
        <v>48</v>
      </c>
      <c r="B7" s="21" t="s">
        <v>58</v>
      </c>
      <c r="C7" s="21">
        <v>600</v>
      </c>
    </row>
    <row r="8" spans="1:12">
      <c r="A8" s="21" t="s">
        <v>49</v>
      </c>
      <c r="B8" s="21" t="s">
        <v>58</v>
      </c>
      <c r="C8" s="21">
        <v>700</v>
      </c>
    </row>
    <row r="9" spans="1:12">
      <c r="A9" s="21" t="s">
        <v>53</v>
      </c>
      <c r="B9" s="21" t="s">
        <v>58</v>
      </c>
      <c r="C9" s="21">
        <v>800</v>
      </c>
      <c r="F9" s="16" t="str" cm="1">
        <f t="array" ref="F9:J12">k("(...args)=&gt;$$.insertCols($$.superPivot(...args),-1,x=&gt;x.sum())",A1:C17,"f1","f2","sum('f3')",1,0)</f>
        <v>A</v>
      </c>
      <c r="G9" s="16">
        <v>1300</v>
      </c>
      <c r="H9" s="16">
        <v>1200</v>
      </c>
      <c r="I9" s="16">
        <v>3000</v>
      </c>
      <c r="J9" s="16">
        <v>500</v>
      </c>
    </row>
    <row r="10" spans="1:12">
      <c r="A10" s="21" t="s">
        <v>47</v>
      </c>
      <c r="B10" s="21" t="s">
        <v>57</v>
      </c>
      <c r="C10" s="21">
        <v>900</v>
      </c>
      <c r="F10" s="17" t="str">
        <v>B</v>
      </c>
      <c r="G10" s="16">
        <v>1400</v>
      </c>
      <c r="H10" s="16">
        <v>0</v>
      </c>
      <c r="I10" s="16">
        <v>2000</v>
      </c>
      <c r="J10" s="16">
        <v>600</v>
      </c>
    </row>
    <row r="11" spans="1:12">
      <c r="F11" s="17" t="str">
        <v>C</v>
      </c>
      <c r="G11" s="16">
        <v>1500</v>
      </c>
      <c r="H11" s="16">
        <v>300</v>
      </c>
      <c r="I11" s="16">
        <v>2500</v>
      </c>
      <c r="J11" s="16">
        <v>700</v>
      </c>
    </row>
    <row r="12" spans="1:12">
      <c r="F12" s="17" t="str">
        <v>D</v>
      </c>
      <c r="G12" s="16">
        <v>1600</v>
      </c>
      <c r="H12" s="16">
        <v>1600</v>
      </c>
      <c r="I12" s="16">
        <v>4000</v>
      </c>
      <c r="J12" s="16">
        <v>800</v>
      </c>
    </row>
    <row r="13" spans="1:12">
      <c r="A13" s="21" t="s">
        <v>53</v>
      </c>
      <c r="B13" s="21" t="s">
        <v>57</v>
      </c>
      <c r="C13" s="21">
        <v>1200</v>
      </c>
      <c r="E13"/>
      <c r="F13" s="2"/>
      <c r="G13" s="2"/>
      <c r="H13" s="2"/>
      <c r="I13" s="2"/>
      <c r="J13"/>
      <c r="K13"/>
      <c r="L13"/>
    </row>
    <row r="14" spans="1:12">
      <c r="A14" s="21" t="s">
        <v>47</v>
      </c>
      <c r="B14" s="21" t="s">
        <v>59</v>
      </c>
      <c r="C14" s="21">
        <v>1300</v>
      </c>
      <c r="E14"/>
      <c r="F14" s="2"/>
      <c r="G14" s="2"/>
      <c r="H14" s="2"/>
      <c r="I14" s="2"/>
      <c r="J14"/>
      <c r="K14"/>
      <c r="L14"/>
    </row>
    <row r="15" spans="1:12">
      <c r="A15" s="21" t="s">
        <v>48</v>
      </c>
      <c r="B15" s="21" t="s">
        <v>59</v>
      </c>
      <c r="C15" s="21">
        <v>1400</v>
      </c>
      <c r="E15"/>
      <c r="F15" t="str" cm="1">
        <f t="array" ref="F15:G30">k("(x,y)=&gt;{y=y+1;return x.map(a=&gt;[a[0],a[2]+'-'+y])}",A2:C17,1)</f>
        <v>A</v>
      </c>
      <c r="G15" t="str">
        <v>100-2</v>
      </c>
      <c r="H15"/>
      <c r="I15"/>
      <c r="J15"/>
      <c r="K15"/>
      <c r="L15"/>
    </row>
    <row r="16" spans="1:12">
      <c r="A16" s="21" t="s">
        <v>49</v>
      </c>
      <c r="B16" s="21" t="s">
        <v>59</v>
      </c>
      <c r="C16" s="21">
        <v>1500</v>
      </c>
      <c r="E16"/>
      <c r="F16" t="str">
        <v>A</v>
      </c>
      <c r="G16" t="str">
        <v>200-2</v>
      </c>
      <c r="H16"/>
      <c r="I16"/>
      <c r="J16"/>
      <c r="K16"/>
      <c r="L16"/>
    </row>
    <row r="17" spans="1:12">
      <c r="A17" s="21" t="s">
        <v>53</v>
      </c>
      <c r="B17" s="21" t="s">
        <v>59</v>
      </c>
      <c r="C17" s="21">
        <v>1600</v>
      </c>
      <c r="E17"/>
      <c r="F17" t="str">
        <v>C</v>
      </c>
      <c r="G17" t="str">
        <v>300-2</v>
      </c>
      <c r="H17"/>
      <c r="I17"/>
      <c r="J17"/>
      <c r="K17"/>
      <c r="L17"/>
    </row>
    <row r="18" spans="1:12">
      <c r="E18"/>
      <c r="F18" t="str">
        <v>D</v>
      </c>
      <c r="G18" t="str">
        <v>400-2</v>
      </c>
      <c r="H18"/>
      <c r="I18"/>
      <c r="J18"/>
      <c r="K18"/>
      <c r="L18"/>
    </row>
    <row r="19" spans="1:12">
      <c r="E19"/>
      <c r="F19" t="str">
        <v>A</v>
      </c>
      <c r="G19" t="str">
        <v>500-2</v>
      </c>
      <c r="H19"/>
      <c r="I19"/>
      <c r="J19"/>
      <c r="K19"/>
      <c r="L19"/>
    </row>
    <row r="20" spans="1:12">
      <c r="E20"/>
      <c r="F20" t="str">
        <v>B</v>
      </c>
      <c r="G20" t="str">
        <v>600-2</v>
      </c>
      <c r="H20"/>
      <c r="I20"/>
      <c r="J20"/>
      <c r="K20"/>
      <c r="L20"/>
    </row>
    <row r="21" spans="1:12">
      <c r="F21" s="17" t="str">
        <v>C</v>
      </c>
      <c r="G21" t="str">
        <v>700-2</v>
      </c>
    </row>
    <row r="22" spans="1:12">
      <c r="F22" t="str">
        <v>D</v>
      </c>
      <c r="G22" t="str">
        <v>800-2</v>
      </c>
    </row>
    <row r="23" spans="1:12">
      <c r="F23" t="str">
        <v>A</v>
      </c>
      <c r="G23" t="str">
        <v>900-2</v>
      </c>
    </row>
    <row r="24" spans="1:12">
      <c r="F24">
        <v>0</v>
      </c>
      <c r="G24" t="str">
        <v>undefined-2</v>
      </c>
    </row>
    <row r="25" spans="1:12">
      <c r="F25">
        <v>0</v>
      </c>
      <c r="G25" t="str">
        <v>undefined-2</v>
      </c>
    </row>
    <row r="26" spans="1:12">
      <c r="F26" t="str">
        <v>D</v>
      </c>
      <c r="G26" t="str">
        <v>1200-2</v>
      </c>
    </row>
    <row r="27" spans="1:12">
      <c r="F27" t="str">
        <v>A</v>
      </c>
      <c r="G27" t="str">
        <v>1300-2</v>
      </c>
    </row>
    <row r="28" spans="1:12">
      <c r="F28" t="str">
        <v>B</v>
      </c>
      <c r="G28" t="str">
        <v>1400-2</v>
      </c>
    </row>
    <row r="29" spans="1:12">
      <c r="F29" t="str">
        <v>C</v>
      </c>
      <c r="G29" t="str">
        <v>1500-2</v>
      </c>
    </row>
    <row r="30" spans="1:12">
      <c r="F30" t="str">
        <v>D</v>
      </c>
      <c r="G30" t="str">
        <v>1600-2</v>
      </c>
    </row>
  </sheetData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L40"/>
  <sheetViews>
    <sheetView topLeftCell="D1" workbookViewId="0">
      <selection activeCell="K2" sqref="K2"/>
    </sheetView>
  </sheetViews>
  <sheetFormatPr defaultColWidth="8.88461538461539" defaultRowHeight="16.8"/>
  <cols>
    <col min="1" max="1" width="8.77884615384615" customWidth="1"/>
    <col min="2" max="2" width="12" customWidth="1"/>
    <col min="3" max="3" width="7.22115384615385" customWidth="1"/>
    <col min="4" max="4" width="8.88461538461539" style="2"/>
    <col min="5" max="5" width="7.33653846153846" style="2" customWidth="1"/>
    <col min="7" max="8" width="7.77884615384615" style="2" customWidth="1"/>
    <col min="12" max="12" width="17.2788461538462" customWidth="1"/>
  </cols>
  <sheetData>
    <row r="1" ht="18.35" spans="1:12">
      <c r="A1" s="3" t="s">
        <v>61</v>
      </c>
      <c r="B1" s="4" t="s">
        <v>62</v>
      </c>
      <c r="C1" s="4" t="s">
        <v>63</v>
      </c>
      <c r="D1" s="4" t="s">
        <v>4</v>
      </c>
      <c r="E1" s="4" t="s">
        <v>64</v>
      </c>
      <c r="F1" s="4" t="s">
        <v>65</v>
      </c>
      <c r="G1" s="4" t="s">
        <v>66</v>
      </c>
      <c r="H1" s="5" t="s">
        <v>67</v>
      </c>
      <c r="K1" t="s">
        <v>68</v>
      </c>
      <c r="L1" t="s">
        <v>69</v>
      </c>
    </row>
    <row r="2" ht="18.35" spans="1:12">
      <c r="A2" s="6">
        <v>1</v>
      </c>
      <c r="B2" s="6" t="s">
        <v>70</v>
      </c>
      <c r="C2" s="6" t="s">
        <v>71</v>
      </c>
      <c r="D2" s="7">
        <v>1</v>
      </c>
      <c r="E2" s="7">
        <v>1</v>
      </c>
      <c r="F2" s="6">
        <v>2021</v>
      </c>
      <c r="G2" s="7">
        <v>10</v>
      </c>
      <c r="H2" s="8">
        <v>10</v>
      </c>
      <c r="K2" t="s">
        <v>72</v>
      </c>
      <c r="L2" t="s">
        <v>73</v>
      </c>
    </row>
    <row r="3" ht="18.35" spans="1:12">
      <c r="A3" s="6">
        <v>2</v>
      </c>
      <c r="B3" s="6" t="s">
        <v>74</v>
      </c>
      <c r="C3" s="6" t="s">
        <v>75</v>
      </c>
      <c r="D3" s="7">
        <v>19</v>
      </c>
      <c r="E3" s="7">
        <v>5</v>
      </c>
      <c r="F3" s="6">
        <v>2023</v>
      </c>
      <c r="G3" s="7">
        <v>4</v>
      </c>
      <c r="H3" s="8">
        <v>5</v>
      </c>
      <c r="K3" t="s">
        <v>76</v>
      </c>
      <c r="L3" t="s">
        <v>77</v>
      </c>
    </row>
    <row r="4" ht="18.35" spans="1:12">
      <c r="A4" s="6">
        <v>3</v>
      </c>
      <c r="B4" s="6" t="s">
        <v>74</v>
      </c>
      <c r="C4" s="6" t="s">
        <v>78</v>
      </c>
      <c r="D4" s="7">
        <v>19</v>
      </c>
      <c r="E4" s="7">
        <v>5</v>
      </c>
      <c r="F4" s="6">
        <v>2022</v>
      </c>
      <c r="G4" s="7">
        <v>6</v>
      </c>
      <c r="H4" s="8">
        <v>28</v>
      </c>
      <c r="K4" t="s">
        <v>79</v>
      </c>
      <c r="L4" t="s">
        <v>80</v>
      </c>
    </row>
    <row r="5" ht="18.35" spans="1:12">
      <c r="A5" s="6">
        <v>4</v>
      </c>
      <c r="B5" s="6" t="s">
        <v>74</v>
      </c>
      <c r="C5" s="6" t="s">
        <v>81</v>
      </c>
      <c r="D5" s="7">
        <v>15</v>
      </c>
      <c r="E5" s="7">
        <v>5</v>
      </c>
      <c r="F5" s="6">
        <v>2024</v>
      </c>
      <c r="G5" s="7">
        <v>5</v>
      </c>
      <c r="H5" s="8">
        <v>1</v>
      </c>
    </row>
    <row r="6" ht="18.35" spans="1:12">
      <c r="A6" s="6">
        <v>5</v>
      </c>
      <c r="B6" s="6" t="s">
        <v>70</v>
      </c>
      <c r="C6" s="6" t="s">
        <v>71</v>
      </c>
      <c r="D6" s="7">
        <v>11</v>
      </c>
      <c r="E6" s="7">
        <v>1</v>
      </c>
      <c r="F6" s="6">
        <v>2024</v>
      </c>
      <c r="G6" s="7">
        <v>11</v>
      </c>
      <c r="H6" s="8">
        <v>15</v>
      </c>
    </row>
    <row r="7" ht="18.35" spans="1:12">
      <c r="A7" s="6">
        <v>6</v>
      </c>
      <c r="B7" s="6" t="s">
        <v>74</v>
      </c>
      <c r="C7" s="6" t="s">
        <v>82</v>
      </c>
      <c r="D7" s="7">
        <v>18</v>
      </c>
      <c r="E7" s="7">
        <v>5</v>
      </c>
      <c r="F7" s="6">
        <v>2023</v>
      </c>
      <c r="G7" s="7">
        <v>2</v>
      </c>
      <c r="H7" s="8">
        <v>18</v>
      </c>
    </row>
    <row r="8" ht="18.35" spans="1:12">
      <c r="A8" s="6">
        <v>7</v>
      </c>
      <c r="B8" s="6" t="s">
        <v>74</v>
      </c>
      <c r="C8" s="6" t="s">
        <v>78</v>
      </c>
      <c r="D8" s="7">
        <v>11</v>
      </c>
      <c r="E8" s="7">
        <v>5</v>
      </c>
      <c r="F8" s="6">
        <v>2023</v>
      </c>
      <c r="G8" s="7">
        <v>6</v>
      </c>
      <c r="H8" s="8">
        <v>16</v>
      </c>
    </row>
    <row r="9" ht="18.35" spans="1:12">
      <c r="A9" s="6">
        <v>8</v>
      </c>
      <c r="B9" s="6" t="s">
        <v>74</v>
      </c>
      <c r="C9" s="6" t="s">
        <v>81</v>
      </c>
      <c r="D9" s="7">
        <v>11</v>
      </c>
      <c r="E9" s="7">
        <v>5</v>
      </c>
      <c r="F9" s="6">
        <v>2023</v>
      </c>
      <c r="G9" s="7">
        <v>6</v>
      </c>
      <c r="H9" s="8">
        <v>21</v>
      </c>
    </row>
    <row r="10" ht="18.35" spans="1:12">
      <c r="A10" s="6">
        <v>9</v>
      </c>
      <c r="B10" s="6" t="s">
        <v>70</v>
      </c>
      <c r="C10" s="6" t="s">
        <v>71</v>
      </c>
      <c r="D10" s="7">
        <v>13</v>
      </c>
      <c r="E10" s="7">
        <v>1</v>
      </c>
      <c r="F10" s="6">
        <v>2022</v>
      </c>
      <c r="G10" s="7">
        <v>7</v>
      </c>
      <c r="H10" s="8">
        <v>18</v>
      </c>
    </row>
    <row r="11" ht="18.35" spans="1:12">
      <c r="A11" s="6">
        <v>10</v>
      </c>
      <c r="B11" s="6" t="s">
        <v>70</v>
      </c>
      <c r="C11" s="6" t="s">
        <v>82</v>
      </c>
      <c r="D11" s="7">
        <v>18</v>
      </c>
      <c r="E11" s="7">
        <v>1</v>
      </c>
      <c r="F11" s="6">
        <v>2021</v>
      </c>
      <c r="G11" s="7">
        <v>11</v>
      </c>
      <c r="H11" s="8">
        <v>13</v>
      </c>
    </row>
    <row r="12" ht="18.35" spans="1:12">
      <c r="A12" s="6">
        <v>11</v>
      </c>
      <c r="B12" s="6" t="s">
        <v>74</v>
      </c>
      <c r="C12" s="6" t="s">
        <v>78</v>
      </c>
      <c r="D12" s="7">
        <v>11</v>
      </c>
      <c r="E12" s="7">
        <v>5</v>
      </c>
      <c r="F12" s="6">
        <v>2022</v>
      </c>
      <c r="G12" s="7">
        <v>10</v>
      </c>
      <c r="H12" s="8">
        <v>7</v>
      </c>
    </row>
    <row r="13" ht="18.35" spans="1:12">
      <c r="A13" s="6">
        <v>12</v>
      </c>
      <c r="B13" s="6" t="s">
        <v>70</v>
      </c>
      <c r="C13" s="6" t="s">
        <v>81</v>
      </c>
      <c r="D13" s="7">
        <v>16</v>
      </c>
      <c r="E13" s="7">
        <v>1</v>
      </c>
      <c r="F13" s="6">
        <v>2023</v>
      </c>
      <c r="G13" s="7">
        <v>5</v>
      </c>
      <c r="H13" s="8">
        <v>15</v>
      </c>
    </row>
    <row r="14" ht="17.6" spans="1:12">
      <c r="A14" s="6">
        <v>13</v>
      </c>
      <c r="B14" s="6" t="s">
        <v>70</v>
      </c>
      <c r="C14" s="6" t="s">
        <v>71</v>
      </c>
      <c r="D14" s="7">
        <v>11</v>
      </c>
      <c r="E14" s="7">
        <v>1</v>
      </c>
      <c r="F14" s="6">
        <v>2022</v>
      </c>
      <c r="G14" s="7">
        <v>9</v>
      </c>
      <c r="H14" s="8">
        <v>2</v>
      </c>
    </row>
    <row r="15" ht="18.35" spans="1:12">
      <c r="A15" s="9">
        <v>14</v>
      </c>
      <c r="B15" s="9" t="s">
        <v>70</v>
      </c>
      <c r="C15" s="9" t="s">
        <v>82</v>
      </c>
      <c r="D15" s="10">
        <v>12</v>
      </c>
      <c r="E15" s="10">
        <v>1</v>
      </c>
      <c r="F15" s="9">
        <v>2024</v>
      </c>
      <c r="G15" s="10">
        <v>11</v>
      </c>
      <c r="H15" s="11">
        <v>25</v>
      </c>
    </row>
    <row r="16" ht="17.6" spans="1:12">
      <c r="A16" s="6">
        <v>15</v>
      </c>
      <c r="B16" s="6" t="s">
        <v>70</v>
      </c>
      <c r="C16" s="6" t="s">
        <v>78</v>
      </c>
      <c r="D16" s="7">
        <v>16</v>
      </c>
      <c r="E16" s="7">
        <v>1</v>
      </c>
      <c r="F16" s="6">
        <v>2023</v>
      </c>
      <c r="G16" s="7">
        <v>8</v>
      </c>
      <c r="H16" s="8">
        <v>22</v>
      </c>
    </row>
    <row r="17" ht="18.35" spans="1:8">
      <c r="A17" s="9">
        <v>16</v>
      </c>
      <c r="B17" s="9" t="s">
        <v>70</v>
      </c>
      <c r="C17" s="9" t="s">
        <v>81</v>
      </c>
      <c r="D17" s="10">
        <v>16</v>
      </c>
      <c r="E17" s="10">
        <v>1</v>
      </c>
      <c r="F17" s="9">
        <v>2022</v>
      </c>
      <c r="G17" s="10">
        <v>4</v>
      </c>
      <c r="H17" s="11">
        <v>22</v>
      </c>
    </row>
    <row r="18" ht="17.6" spans="1:8">
      <c r="A18" s="6">
        <v>17</v>
      </c>
      <c r="B18" s="6" t="s">
        <v>74</v>
      </c>
      <c r="C18" s="6" t="s">
        <v>71</v>
      </c>
      <c r="D18" s="7">
        <v>15</v>
      </c>
      <c r="E18" s="7">
        <v>5</v>
      </c>
      <c r="F18" s="6">
        <v>2023</v>
      </c>
      <c r="G18" s="7">
        <v>9</v>
      </c>
      <c r="H18" s="8">
        <v>17</v>
      </c>
    </row>
    <row r="19" ht="18.35" spans="1:8">
      <c r="A19" s="9">
        <v>18</v>
      </c>
      <c r="B19" s="9" t="s">
        <v>70</v>
      </c>
      <c r="C19" s="9" t="s">
        <v>82</v>
      </c>
      <c r="D19" s="10">
        <v>13</v>
      </c>
      <c r="E19" s="10">
        <v>1</v>
      </c>
      <c r="F19" s="9">
        <v>2023</v>
      </c>
      <c r="G19" s="10">
        <v>4</v>
      </c>
      <c r="H19" s="11">
        <v>28</v>
      </c>
    </row>
    <row r="20" ht="17.6" spans="1:8">
      <c r="A20" s="6">
        <v>19</v>
      </c>
      <c r="B20" s="6" t="s">
        <v>70</v>
      </c>
      <c r="C20" s="6" t="s">
        <v>78</v>
      </c>
      <c r="D20" s="7">
        <v>18</v>
      </c>
      <c r="E20" s="7">
        <v>1</v>
      </c>
      <c r="F20" s="6">
        <v>2021</v>
      </c>
      <c r="G20" s="7">
        <v>11</v>
      </c>
      <c r="H20" s="8">
        <v>20</v>
      </c>
    </row>
    <row r="21" ht="18.35" spans="1:8">
      <c r="A21" s="9">
        <v>20</v>
      </c>
      <c r="B21" s="9" t="s">
        <v>70</v>
      </c>
      <c r="C21" s="9" t="s">
        <v>81</v>
      </c>
      <c r="D21" s="10">
        <v>12</v>
      </c>
      <c r="E21" s="10">
        <v>1</v>
      </c>
      <c r="F21" s="9">
        <v>2023</v>
      </c>
      <c r="G21" s="10">
        <v>7</v>
      </c>
      <c r="H21" s="11">
        <v>13</v>
      </c>
    </row>
    <row r="22" ht="17.6" spans="1:8">
      <c r="A22" s="6">
        <v>21</v>
      </c>
      <c r="B22" s="6" t="s">
        <v>70</v>
      </c>
      <c r="C22" s="6" t="s">
        <v>71</v>
      </c>
      <c r="D22" s="7">
        <v>18</v>
      </c>
      <c r="E22" s="7">
        <v>1</v>
      </c>
      <c r="F22" s="6">
        <v>2021</v>
      </c>
      <c r="G22" s="7">
        <v>1</v>
      </c>
      <c r="H22" s="8">
        <v>23</v>
      </c>
    </row>
    <row r="23" ht="18.35" spans="1:8">
      <c r="A23" s="9">
        <v>22</v>
      </c>
      <c r="B23" s="9" t="s">
        <v>70</v>
      </c>
      <c r="C23" s="9" t="s">
        <v>82</v>
      </c>
      <c r="D23" s="10">
        <v>16</v>
      </c>
      <c r="E23" s="10">
        <v>1</v>
      </c>
      <c r="F23" s="9">
        <v>2023</v>
      </c>
      <c r="G23" s="10">
        <v>2</v>
      </c>
      <c r="H23" s="11">
        <v>18</v>
      </c>
    </row>
    <row r="24" ht="17.6" spans="1:8">
      <c r="A24" s="6">
        <v>23</v>
      </c>
      <c r="B24" s="6" t="s">
        <v>74</v>
      </c>
      <c r="C24" s="6" t="s">
        <v>78</v>
      </c>
      <c r="D24" s="7">
        <v>15</v>
      </c>
      <c r="E24" s="7">
        <v>5</v>
      </c>
      <c r="F24" s="6">
        <v>2022</v>
      </c>
      <c r="G24" s="7">
        <v>9</v>
      </c>
      <c r="H24" s="8">
        <v>1</v>
      </c>
    </row>
    <row r="25" ht="18.35" spans="1:8">
      <c r="A25" s="9">
        <v>24</v>
      </c>
      <c r="B25" s="9" t="s">
        <v>70</v>
      </c>
      <c r="C25" s="9" t="s">
        <v>81</v>
      </c>
      <c r="D25" s="10">
        <v>12</v>
      </c>
      <c r="E25" s="10">
        <v>1</v>
      </c>
      <c r="F25" s="9">
        <v>2023</v>
      </c>
      <c r="G25" s="10">
        <v>2</v>
      </c>
      <c r="H25" s="11">
        <v>21</v>
      </c>
    </row>
    <row r="26" ht="17.6" spans="1:8">
      <c r="A26" s="6">
        <v>25</v>
      </c>
      <c r="B26" s="6" t="s">
        <v>70</v>
      </c>
      <c r="C26" s="6" t="s">
        <v>71</v>
      </c>
      <c r="D26" s="7">
        <v>17</v>
      </c>
      <c r="E26" s="7">
        <v>1</v>
      </c>
      <c r="F26" s="6">
        <v>2023</v>
      </c>
      <c r="G26" s="7">
        <v>11</v>
      </c>
      <c r="H26" s="8">
        <v>2</v>
      </c>
    </row>
    <row r="27" ht="18.35" spans="1:8">
      <c r="A27" s="9">
        <v>26</v>
      </c>
      <c r="B27" s="9" t="s">
        <v>70</v>
      </c>
      <c r="C27" s="9" t="s">
        <v>82</v>
      </c>
      <c r="D27" s="10">
        <v>15</v>
      </c>
      <c r="E27" s="10">
        <v>1</v>
      </c>
      <c r="F27" s="9">
        <v>2023</v>
      </c>
      <c r="G27" s="10">
        <v>11</v>
      </c>
      <c r="H27" s="11">
        <v>16</v>
      </c>
    </row>
    <row r="28" ht="17.6" spans="1:8">
      <c r="A28" s="9">
        <v>27</v>
      </c>
      <c r="B28" s="6" t="s">
        <v>70</v>
      </c>
      <c r="C28" s="6" t="s">
        <v>78</v>
      </c>
      <c r="D28" s="7">
        <v>15</v>
      </c>
      <c r="E28" s="7">
        <v>1</v>
      </c>
      <c r="F28" s="6">
        <v>2024</v>
      </c>
      <c r="G28" s="7">
        <v>10</v>
      </c>
      <c r="H28" s="8">
        <v>23</v>
      </c>
    </row>
    <row r="29" ht="18.35" spans="1:8">
      <c r="A29" s="9">
        <v>28</v>
      </c>
      <c r="B29" s="9" t="s">
        <v>74</v>
      </c>
      <c r="C29" s="9" t="s">
        <v>81</v>
      </c>
      <c r="D29" s="10">
        <v>13</v>
      </c>
      <c r="E29" s="10">
        <v>5</v>
      </c>
      <c r="F29" s="9">
        <v>2023</v>
      </c>
      <c r="G29" s="10">
        <v>1</v>
      </c>
      <c r="H29" s="11">
        <v>26</v>
      </c>
    </row>
    <row r="30" ht="17.6" spans="1:8">
      <c r="A30" s="6">
        <v>23</v>
      </c>
      <c r="B30" s="6" t="s">
        <v>74</v>
      </c>
      <c r="C30" s="6" t="s">
        <v>83</v>
      </c>
      <c r="D30" s="7">
        <v>15</v>
      </c>
      <c r="E30" s="7">
        <v>5</v>
      </c>
      <c r="F30" s="6">
        <v>2022</v>
      </c>
      <c r="G30" s="7">
        <v>9</v>
      </c>
      <c r="H30" s="8">
        <v>1</v>
      </c>
    </row>
    <row r="31" ht="18.35" spans="1:8">
      <c r="A31" s="9">
        <v>24</v>
      </c>
      <c r="B31" s="9" t="s">
        <v>70</v>
      </c>
      <c r="C31" s="9" t="s">
        <v>83</v>
      </c>
      <c r="D31" s="10">
        <v>12</v>
      </c>
      <c r="E31" s="10">
        <v>1</v>
      </c>
      <c r="F31" s="9">
        <v>2023</v>
      </c>
      <c r="G31" s="10">
        <v>2</v>
      </c>
      <c r="H31" s="11">
        <v>21</v>
      </c>
    </row>
    <row r="32" ht="17.6" spans="1:8">
      <c r="A32" s="6">
        <v>25</v>
      </c>
      <c r="B32" s="6" t="s">
        <v>70</v>
      </c>
      <c r="C32" s="6" t="s">
        <v>83</v>
      </c>
      <c r="D32" s="7">
        <v>17</v>
      </c>
      <c r="E32" s="7">
        <v>1</v>
      </c>
      <c r="F32" s="6">
        <v>2023</v>
      </c>
      <c r="G32" s="7">
        <v>11</v>
      </c>
      <c r="H32" s="8">
        <v>2</v>
      </c>
    </row>
    <row r="33" ht="18.35" spans="1:8">
      <c r="A33" s="9">
        <v>26</v>
      </c>
      <c r="B33" s="9" t="s">
        <v>70</v>
      </c>
      <c r="C33" s="9" t="s">
        <v>83</v>
      </c>
      <c r="D33" s="10">
        <v>15</v>
      </c>
      <c r="E33" s="10">
        <v>1</v>
      </c>
      <c r="F33" s="9">
        <v>2023</v>
      </c>
      <c r="G33" s="10">
        <v>11</v>
      </c>
      <c r="H33" s="11">
        <v>16</v>
      </c>
    </row>
    <row r="34" ht="17.6" spans="1:8">
      <c r="A34" s="9">
        <v>27</v>
      </c>
      <c r="B34" s="6" t="s">
        <v>70</v>
      </c>
      <c r="C34" s="6" t="s">
        <v>83</v>
      </c>
      <c r="D34" s="7">
        <v>15</v>
      </c>
      <c r="E34" s="7">
        <v>1</v>
      </c>
      <c r="F34" s="6">
        <v>2024</v>
      </c>
      <c r="G34" s="7">
        <v>10</v>
      </c>
      <c r="H34" s="8">
        <v>23</v>
      </c>
    </row>
    <row r="35" ht="17.6" spans="1:8">
      <c r="A35" s="9">
        <v>28</v>
      </c>
      <c r="B35" s="9" t="s">
        <v>74</v>
      </c>
      <c r="C35" s="9" t="s">
        <v>83</v>
      </c>
      <c r="D35" s="10">
        <v>13</v>
      </c>
      <c r="E35" s="10">
        <v>5</v>
      </c>
      <c r="F35" s="9">
        <v>2023</v>
      </c>
      <c r="G35" s="10">
        <v>1</v>
      </c>
      <c r="H35" s="11">
        <v>26</v>
      </c>
    </row>
    <row r="36" ht="18.35" spans="1:8">
      <c r="A36" s="9">
        <v>24</v>
      </c>
      <c r="B36" s="9" t="s">
        <v>70</v>
      </c>
      <c r="C36" s="9" t="s">
        <v>83</v>
      </c>
      <c r="D36" s="10">
        <v>12</v>
      </c>
      <c r="E36" s="10">
        <v>1</v>
      </c>
      <c r="F36" s="9">
        <v>2023</v>
      </c>
      <c r="G36" s="10">
        <v>2</v>
      </c>
      <c r="H36" s="11">
        <v>21</v>
      </c>
    </row>
    <row r="37" ht="17.6" spans="1:8">
      <c r="A37" s="6">
        <v>25</v>
      </c>
      <c r="B37" s="6" t="s">
        <v>70</v>
      </c>
      <c r="C37" s="6" t="s">
        <v>83</v>
      </c>
      <c r="D37" s="7">
        <v>17</v>
      </c>
      <c r="E37" s="7">
        <v>1</v>
      </c>
      <c r="F37" s="6">
        <v>2023</v>
      </c>
      <c r="G37" s="7">
        <v>11</v>
      </c>
      <c r="H37" s="8">
        <v>2</v>
      </c>
    </row>
    <row r="38" ht="18.35" spans="1:8">
      <c r="A38" s="9">
        <v>26</v>
      </c>
      <c r="B38" s="9" t="s">
        <v>70</v>
      </c>
      <c r="C38" s="9" t="s">
        <v>83</v>
      </c>
      <c r="D38" s="10">
        <v>15</v>
      </c>
      <c r="E38" s="10">
        <v>1</v>
      </c>
      <c r="F38" s="9">
        <v>2023</v>
      </c>
      <c r="G38" s="10">
        <v>11</v>
      </c>
      <c r="H38" s="11">
        <v>16</v>
      </c>
    </row>
    <row r="39" ht="17.6" spans="1:8">
      <c r="A39" s="9">
        <v>27</v>
      </c>
      <c r="B39" s="6" t="s">
        <v>70</v>
      </c>
      <c r="C39" s="6" t="s">
        <v>83</v>
      </c>
      <c r="D39" s="7">
        <v>15</v>
      </c>
      <c r="E39" s="7">
        <v>1</v>
      </c>
      <c r="F39" s="6">
        <v>2024</v>
      </c>
      <c r="G39" s="7">
        <v>10</v>
      </c>
      <c r="H39" s="8">
        <v>23</v>
      </c>
    </row>
    <row r="40" ht="17.6" spans="1:8">
      <c r="A40" s="9">
        <v>28</v>
      </c>
      <c r="B40" s="9" t="s">
        <v>74</v>
      </c>
      <c r="C40" s="9" t="s">
        <v>83</v>
      </c>
      <c r="D40" s="10">
        <v>13</v>
      </c>
      <c r="E40" s="10">
        <v>5</v>
      </c>
      <c r="F40" s="9">
        <v>2023</v>
      </c>
      <c r="G40" s="10">
        <v>1</v>
      </c>
      <c r="H40" s="11">
        <v>26</v>
      </c>
    </row>
  </sheetData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W42"/>
  <sheetViews>
    <sheetView topLeftCell="C1" workbookViewId="0">
      <selection activeCell="J16" sqref="J16"/>
    </sheetView>
  </sheetViews>
  <sheetFormatPr defaultColWidth="8.88461538461539" defaultRowHeight="16.8"/>
  <cols>
    <col min="1" max="1" width="8.77884615384615" customWidth="1"/>
    <col min="2" max="2" width="12" customWidth="1"/>
    <col min="3" max="3" width="7.22115384615385" customWidth="1"/>
    <col min="4" max="4" width="8.88461538461539" style="2"/>
    <col min="5" max="5" width="7.33653846153846" style="2" customWidth="1"/>
    <col min="7" max="8" width="7.77884615384615" style="2" customWidth="1"/>
    <col min="9" max="9" width="7.41346153846154" customWidth="1"/>
    <col min="10" max="10" width="6" customWidth="1"/>
    <col min="11" max="11" width="11.9230769230769" customWidth="1"/>
    <col min="12" max="13" width="6" customWidth="1"/>
    <col min="14" max="14" width="10.3076923076923" customWidth="1"/>
    <col min="15" max="16" width="6" customWidth="1"/>
    <col min="17" max="17" width="10.6923076923077" customWidth="1"/>
    <col min="18" max="19" width="6" customWidth="1"/>
    <col min="20" max="20" width="22.3076923076923" customWidth="1"/>
    <col min="21" max="22" width="6" customWidth="1"/>
    <col min="23" max="23" width="10.3076923076923" customWidth="1"/>
    <col min="24" max="26" width="5.44230769230769" customWidth="1"/>
    <col min="27" max="27" width="10.4423076923077" customWidth="1"/>
  </cols>
  <sheetData>
    <row r="1" ht="18.35" spans="1:23">
      <c r="A1" s="3" t="s">
        <v>61</v>
      </c>
      <c r="B1" s="4" t="s">
        <v>62</v>
      </c>
      <c r="C1" s="4" t="s">
        <v>63</v>
      </c>
      <c r="D1" s="4" t="s">
        <v>4</v>
      </c>
      <c r="E1" s="4" t="s">
        <v>64</v>
      </c>
      <c r="F1" s="4" t="s">
        <v>65</v>
      </c>
      <c r="G1" s="4" t="s">
        <v>66</v>
      </c>
      <c r="H1" s="5" t="s">
        <v>67</v>
      </c>
      <c r="J1" s="12" t="str" cm="1">
        <f t="array" ref="J1:W13">k("$$.superPivot",A1:H40,"f3,f2","f6","count(),sum('f4'),textjoin('f4','+')")</f>
        <v/>
      </c>
      <c r="K1" s="13" t="str">
        <v>年</v>
      </c>
      <c r="L1" s="13" t="str">
        <v>2021</v>
      </c>
      <c r="M1" s="13" t="str">
        <v>2021</v>
      </c>
      <c r="N1" s="13" t="str">
        <v>2021</v>
      </c>
      <c r="O1" s="13" t="str">
        <v>2022</v>
      </c>
      <c r="P1" s="13" t="str">
        <v>2022</v>
      </c>
      <c r="Q1" s="13" t="str">
        <v>2022</v>
      </c>
      <c r="R1" s="13" t="str">
        <v>2023</v>
      </c>
      <c r="S1" s="13" t="str">
        <v>2023</v>
      </c>
      <c r="T1" s="13" t="str">
        <v>2023</v>
      </c>
      <c r="U1" s="13" t="str">
        <v>2024</v>
      </c>
      <c r="V1" s="13" t="str">
        <v>2024</v>
      </c>
      <c r="W1" s="13" t="str">
        <v>2024</v>
      </c>
    </row>
    <row r="2" ht="18.35" spans="1:23">
      <c r="A2" s="6">
        <v>1</v>
      </c>
      <c r="B2" s="6" t="s">
        <v>70</v>
      </c>
      <c r="C2" s="6" t="s">
        <v>71</v>
      </c>
      <c r="D2" s="7">
        <v>1</v>
      </c>
      <c r="E2" s="7">
        <v>1</v>
      </c>
      <c r="F2" s="6">
        <v>2021</v>
      </c>
      <c r="G2" s="7">
        <v>10</v>
      </c>
      <c r="H2" s="8">
        <v>10</v>
      </c>
      <c r="J2" s="13" t="str">
        <v>国家</v>
      </c>
      <c r="K2" s="13" t="str">
        <v>产品</v>
      </c>
      <c r="L2" s="13" t="str">
        <v>计数</v>
      </c>
      <c r="M2" s="13" t="str">
        <v>求和</v>
      </c>
      <c r="N2" s="13" t="str">
        <v>多项合并</v>
      </c>
      <c r="O2" s="13" t="str">
        <v>计数</v>
      </c>
      <c r="P2" s="13" t="str">
        <v>求和</v>
      </c>
      <c r="Q2" s="13" t="str">
        <v>多项合并</v>
      </c>
      <c r="R2" s="13" t="str">
        <v>计数</v>
      </c>
      <c r="S2" s="13" t="str">
        <v>求和</v>
      </c>
      <c r="T2" s="13" t="str">
        <v>多项合并</v>
      </c>
      <c r="U2" s="13" t="str">
        <v>计数</v>
      </c>
      <c r="V2" s="13" t="str">
        <v>求和</v>
      </c>
      <c r="W2" s="13" t="str">
        <v>多项合并</v>
      </c>
    </row>
    <row r="3" ht="18.35" spans="1:23">
      <c r="A3" s="6">
        <v>2</v>
      </c>
      <c r="B3" s="6" t="s">
        <v>74</v>
      </c>
      <c r="C3" s="6" t="s">
        <v>75</v>
      </c>
      <c r="D3" s="7">
        <v>19</v>
      </c>
      <c r="E3" s="7">
        <v>5</v>
      </c>
      <c r="F3" s="6">
        <v>2023</v>
      </c>
      <c r="G3" s="7">
        <v>4</v>
      </c>
      <c r="H3" s="8">
        <v>5</v>
      </c>
      <c r="J3" s="14" t="str">
        <v>test</v>
      </c>
      <c r="K3" s="14" t="str">
        <v>    Product1</v>
      </c>
      <c r="L3" s="15">
        <v>0</v>
      </c>
      <c r="M3" s="15">
        <v>0</v>
      </c>
      <c r="N3" s="15">
        <v>0</v>
      </c>
      <c r="O3" s="15">
        <v>0</v>
      </c>
      <c r="P3" s="15">
        <v>0</v>
      </c>
      <c r="Q3" s="15">
        <v>0</v>
      </c>
      <c r="R3" s="15">
        <v>6</v>
      </c>
      <c r="S3" s="15">
        <v>88</v>
      </c>
      <c r="T3" s="15" t="str">
        <v>12+17+15+12+17+15</v>
      </c>
      <c r="U3" s="15">
        <v>2</v>
      </c>
      <c r="V3" s="15">
        <v>30</v>
      </c>
      <c r="W3" s="15" t="str">
        <v>15+15</v>
      </c>
    </row>
    <row r="4" ht="18.35" spans="1:23">
      <c r="A4" s="6">
        <v>3</v>
      </c>
      <c r="B4" s="6" t="s">
        <v>74</v>
      </c>
      <c r="C4" s="6" t="s">
        <v>78</v>
      </c>
      <c r="D4" s="7">
        <v>19</v>
      </c>
      <c r="E4" s="7">
        <v>5</v>
      </c>
      <c r="F4" s="6">
        <v>2022</v>
      </c>
      <c r="G4" s="7">
        <v>6</v>
      </c>
      <c r="H4" s="8">
        <v>28</v>
      </c>
      <c r="J4" s="14" t="str">
        <v>test</v>
      </c>
      <c r="K4" s="14" t="str">
        <v>    Product2</v>
      </c>
      <c r="L4" s="15">
        <v>0</v>
      </c>
      <c r="M4" s="15">
        <v>0</v>
      </c>
      <c r="N4" s="15">
        <v>0</v>
      </c>
      <c r="O4" s="15">
        <v>1</v>
      </c>
      <c r="P4" s="15">
        <v>15</v>
      </c>
      <c r="Q4" s="15" t="str">
        <v>15</v>
      </c>
      <c r="R4" s="15">
        <v>2</v>
      </c>
      <c r="S4" s="15">
        <v>26</v>
      </c>
      <c r="T4" s="15" t="str">
        <v>13+13</v>
      </c>
      <c r="U4" s="15">
        <v>0</v>
      </c>
      <c r="V4" s="15">
        <v>0</v>
      </c>
      <c r="W4" s="15">
        <v>0</v>
      </c>
    </row>
    <row r="5" ht="18.35" spans="1:23">
      <c r="A5" s="6">
        <v>4</v>
      </c>
      <c r="B5" s="6" t="s">
        <v>74</v>
      </c>
      <c r="C5" s="6" t="s">
        <v>81</v>
      </c>
      <c r="D5" s="7">
        <v>15</v>
      </c>
      <c r="E5" s="7">
        <v>5</v>
      </c>
      <c r="F5" s="6">
        <v>2024</v>
      </c>
      <c r="G5" s="7">
        <v>5</v>
      </c>
      <c r="H5" s="8">
        <v>1</v>
      </c>
      <c r="J5" s="14" t="str">
        <v>usa</v>
      </c>
      <c r="K5" s="14" t="str">
        <v>    Product2</v>
      </c>
      <c r="L5" s="15">
        <v>0</v>
      </c>
      <c r="M5" s="15">
        <v>0</v>
      </c>
      <c r="N5" s="15">
        <v>0</v>
      </c>
      <c r="O5" s="15">
        <v>0</v>
      </c>
      <c r="P5" s="15">
        <v>0</v>
      </c>
      <c r="Q5" s="15">
        <v>0</v>
      </c>
      <c r="R5" s="15">
        <v>1</v>
      </c>
      <c r="S5" s="15">
        <v>19</v>
      </c>
      <c r="T5" s="15" t="str">
        <v>19</v>
      </c>
      <c r="U5" s="15">
        <v>0</v>
      </c>
      <c r="V5" s="15">
        <v>0</v>
      </c>
      <c r="W5" s="15">
        <v>0</v>
      </c>
    </row>
    <row r="6" ht="18.35" spans="1:23">
      <c r="A6" s="6">
        <v>5</v>
      </c>
      <c r="B6" s="6" t="s">
        <v>70</v>
      </c>
      <c r="C6" s="6" t="s">
        <v>71</v>
      </c>
      <c r="D6" s="7">
        <v>11</v>
      </c>
      <c r="E6" s="7">
        <v>1</v>
      </c>
      <c r="F6" s="6">
        <v>2024</v>
      </c>
      <c r="G6" s="7">
        <v>11</v>
      </c>
      <c r="H6" s="8">
        <v>15</v>
      </c>
      <c r="J6" s="14" t="str">
        <v>中国</v>
      </c>
      <c r="K6" s="14" t="str">
        <v>    Product1</v>
      </c>
      <c r="L6" s="15">
        <v>2</v>
      </c>
      <c r="M6" s="15">
        <v>19</v>
      </c>
      <c r="N6" s="15" t="str">
        <v>1+18</v>
      </c>
      <c r="O6" s="15">
        <v>2</v>
      </c>
      <c r="P6" s="15">
        <v>24</v>
      </c>
      <c r="Q6" s="15" t="str">
        <v>13+11</v>
      </c>
      <c r="R6" s="15">
        <v>1</v>
      </c>
      <c r="S6" s="15">
        <v>17</v>
      </c>
      <c r="T6" s="15" t="str">
        <v>17</v>
      </c>
      <c r="U6" s="15">
        <v>1</v>
      </c>
      <c r="V6" s="15">
        <v>11</v>
      </c>
      <c r="W6" s="15" t="str">
        <v>11</v>
      </c>
    </row>
    <row r="7" ht="18.35" spans="1:23">
      <c r="A7" s="6">
        <v>6</v>
      </c>
      <c r="B7" s="6" t="s">
        <v>74</v>
      </c>
      <c r="C7" s="6" t="s">
        <v>82</v>
      </c>
      <c r="D7" s="7">
        <v>18</v>
      </c>
      <c r="E7" s="7">
        <v>5</v>
      </c>
      <c r="F7" s="6">
        <v>2023</v>
      </c>
      <c r="G7" s="7">
        <v>2</v>
      </c>
      <c r="H7" s="8">
        <v>18</v>
      </c>
      <c r="J7" s="14" t="str">
        <v>中国</v>
      </c>
      <c r="K7" s="14" t="str">
        <v>    Product2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1</v>
      </c>
      <c r="S7" s="15">
        <v>15</v>
      </c>
      <c r="T7" s="15" t="str">
        <v>15</v>
      </c>
      <c r="U7" s="15">
        <v>0</v>
      </c>
      <c r="V7" s="15">
        <v>0</v>
      </c>
      <c r="W7" s="15">
        <v>0</v>
      </c>
    </row>
    <row r="8" ht="18.35" spans="1:23">
      <c r="A8" s="6">
        <v>7</v>
      </c>
      <c r="B8" s="6" t="s">
        <v>74</v>
      </c>
      <c r="C8" s="6" t="s">
        <v>78</v>
      </c>
      <c r="D8" s="7">
        <v>11</v>
      </c>
      <c r="E8" s="7">
        <v>5</v>
      </c>
      <c r="F8" s="6">
        <v>2023</v>
      </c>
      <c r="G8" s="7">
        <v>6</v>
      </c>
      <c r="H8" s="8">
        <v>16</v>
      </c>
      <c r="J8" s="14" t="str">
        <v>德国</v>
      </c>
      <c r="K8" s="14" t="str">
        <v>    Product1</v>
      </c>
      <c r="L8" s="15">
        <v>1</v>
      </c>
      <c r="M8" s="15">
        <v>18</v>
      </c>
      <c r="N8" s="15" t="str">
        <v>18</v>
      </c>
      <c r="O8" s="15">
        <v>0</v>
      </c>
      <c r="P8" s="15">
        <v>0</v>
      </c>
      <c r="Q8" s="15">
        <v>0</v>
      </c>
      <c r="R8" s="15">
        <v>3</v>
      </c>
      <c r="S8" s="15">
        <v>44</v>
      </c>
      <c r="T8" s="15" t="str">
        <v>13+16+15</v>
      </c>
      <c r="U8" s="15">
        <v>1</v>
      </c>
      <c r="V8" s="15">
        <v>12</v>
      </c>
      <c r="W8" s="15" t="str">
        <v>12</v>
      </c>
    </row>
    <row r="9" ht="18.35" spans="1:23">
      <c r="A9" s="6">
        <v>8</v>
      </c>
      <c r="B9" s="6" t="s">
        <v>74</v>
      </c>
      <c r="C9" s="6" t="s">
        <v>81</v>
      </c>
      <c r="D9" s="7">
        <v>11</v>
      </c>
      <c r="E9" s="7">
        <v>5</v>
      </c>
      <c r="F9" s="6">
        <v>2023</v>
      </c>
      <c r="G9" s="7">
        <v>6</v>
      </c>
      <c r="H9" s="8">
        <v>21</v>
      </c>
      <c r="J9" s="14" t="str">
        <v>德国</v>
      </c>
      <c r="K9" s="14" t="str">
        <v>    Product2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1</v>
      </c>
      <c r="S9" s="15">
        <v>18</v>
      </c>
      <c r="T9" s="15" t="str">
        <v>18</v>
      </c>
      <c r="U9" s="15">
        <v>0</v>
      </c>
      <c r="V9" s="15">
        <v>0</v>
      </c>
      <c r="W9" s="15">
        <v>0</v>
      </c>
    </row>
    <row r="10" ht="18.35" spans="1:23">
      <c r="A10" s="6">
        <v>9</v>
      </c>
      <c r="B10" s="6" t="s">
        <v>70</v>
      </c>
      <c r="C10" s="6" t="s">
        <v>71</v>
      </c>
      <c r="D10" s="7">
        <v>13</v>
      </c>
      <c r="E10" s="7">
        <v>1</v>
      </c>
      <c r="F10" s="6">
        <v>2022</v>
      </c>
      <c r="G10" s="7">
        <v>7</v>
      </c>
      <c r="H10" s="8">
        <v>18</v>
      </c>
      <c r="J10" s="14" t="str">
        <v>美国</v>
      </c>
      <c r="K10" s="14" t="str">
        <v>    Product1</v>
      </c>
      <c r="L10" s="15">
        <v>0</v>
      </c>
      <c r="M10" s="15">
        <v>0</v>
      </c>
      <c r="N10" s="15">
        <v>0</v>
      </c>
      <c r="O10" s="15">
        <v>1</v>
      </c>
      <c r="P10" s="15">
        <v>16</v>
      </c>
      <c r="Q10" s="15" t="str">
        <v>16</v>
      </c>
      <c r="R10" s="15">
        <v>3</v>
      </c>
      <c r="S10" s="15">
        <v>40</v>
      </c>
      <c r="T10" s="15" t="str">
        <v>16+12+12</v>
      </c>
      <c r="U10" s="15">
        <v>0</v>
      </c>
      <c r="V10" s="15">
        <v>0</v>
      </c>
      <c r="W10" s="15">
        <v>0</v>
      </c>
    </row>
    <row r="11" ht="18.35" spans="1:23">
      <c r="A11" s="6">
        <v>10</v>
      </c>
      <c r="B11" s="6" t="s">
        <v>70</v>
      </c>
      <c r="C11" s="6" t="s">
        <v>82</v>
      </c>
      <c r="D11" s="7">
        <v>18</v>
      </c>
      <c r="E11" s="7">
        <v>1</v>
      </c>
      <c r="F11" s="6">
        <v>2021</v>
      </c>
      <c r="G11" s="7">
        <v>11</v>
      </c>
      <c r="H11" s="8">
        <v>13</v>
      </c>
      <c r="J11" s="14" t="str">
        <v>美国</v>
      </c>
      <c r="K11" s="14" t="str">
        <v>    Product2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2</v>
      </c>
      <c r="S11" s="15">
        <v>24</v>
      </c>
      <c r="T11" s="15" t="str">
        <v>11+13</v>
      </c>
      <c r="U11" s="15">
        <v>1</v>
      </c>
      <c r="V11" s="15">
        <v>15</v>
      </c>
      <c r="W11" s="15" t="str">
        <v>15</v>
      </c>
    </row>
    <row r="12" ht="18.35" spans="1:23">
      <c r="A12" s="6">
        <v>11</v>
      </c>
      <c r="B12" s="6" t="s">
        <v>74</v>
      </c>
      <c r="C12" s="6" t="s">
        <v>78</v>
      </c>
      <c r="D12" s="7">
        <v>11</v>
      </c>
      <c r="E12" s="7">
        <v>5</v>
      </c>
      <c r="F12" s="6">
        <v>2022</v>
      </c>
      <c r="G12" s="7">
        <v>10</v>
      </c>
      <c r="H12" s="8">
        <v>7</v>
      </c>
      <c r="J12" s="14" t="str">
        <v>英国</v>
      </c>
      <c r="K12" s="14" t="str">
        <v>    Product1</v>
      </c>
      <c r="L12" s="15">
        <v>1</v>
      </c>
      <c r="M12" s="15">
        <v>18</v>
      </c>
      <c r="N12" s="15" t="str">
        <v>18</v>
      </c>
      <c r="O12" s="15">
        <v>0</v>
      </c>
      <c r="P12" s="15">
        <v>0</v>
      </c>
      <c r="Q12" s="15">
        <v>0</v>
      </c>
      <c r="R12" s="15">
        <v>1</v>
      </c>
      <c r="S12" s="15">
        <v>16</v>
      </c>
      <c r="T12" s="15" t="str">
        <v>16</v>
      </c>
      <c r="U12" s="15">
        <v>1</v>
      </c>
      <c r="V12" s="15">
        <v>15</v>
      </c>
      <c r="W12" s="15" t="str">
        <v>15</v>
      </c>
    </row>
    <row r="13" ht="18.35" spans="1:23">
      <c r="A13" s="6">
        <v>12</v>
      </c>
      <c r="B13" s="6" t="s">
        <v>70</v>
      </c>
      <c r="C13" s="6" t="s">
        <v>81</v>
      </c>
      <c r="D13" s="7">
        <v>16</v>
      </c>
      <c r="E13" s="7">
        <v>1</v>
      </c>
      <c r="F13" s="6">
        <v>2023</v>
      </c>
      <c r="G13" s="7">
        <v>5</v>
      </c>
      <c r="H13" s="8">
        <v>15</v>
      </c>
      <c r="J13" s="14" t="str">
        <v>英国</v>
      </c>
      <c r="K13" s="14" t="str">
        <v>    Product2</v>
      </c>
      <c r="L13" s="15">
        <v>0</v>
      </c>
      <c r="M13" s="15">
        <v>0</v>
      </c>
      <c r="N13" s="15">
        <v>0</v>
      </c>
      <c r="O13" s="15">
        <v>3</v>
      </c>
      <c r="P13" s="15">
        <v>45</v>
      </c>
      <c r="Q13" s="15" t="str">
        <v>19+11+15</v>
      </c>
      <c r="R13" s="15">
        <v>1</v>
      </c>
      <c r="S13" s="15">
        <v>11</v>
      </c>
      <c r="T13" s="15" t="str">
        <v>11</v>
      </c>
      <c r="U13" s="15">
        <v>0</v>
      </c>
      <c r="V13" s="15">
        <v>0</v>
      </c>
      <c r="W13" s="15">
        <v>0</v>
      </c>
    </row>
    <row r="14" ht="17.6" spans="1:23">
      <c r="A14" s="6">
        <v>13</v>
      </c>
      <c r="B14" s="6" t="s">
        <v>70</v>
      </c>
      <c r="C14" s="6" t="s">
        <v>71</v>
      </c>
      <c r="D14" s="7">
        <v>11</v>
      </c>
      <c r="E14" s="7">
        <v>1</v>
      </c>
      <c r="F14" s="6">
        <v>2022</v>
      </c>
      <c r="G14" s="7">
        <v>9</v>
      </c>
      <c r="H14" s="8">
        <v>2</v>
      </c>
    </row>
    <row r="15" ht="18.35" spans="1:23">
      <c r="A15" s="9">
        <v>14</v>
      </c>
      <c r="B15" s="9" t="s">
        <v>70</v>
      </c>
      <c r="C15" s="9" t="s">
        <v>82</v>
      </c>
      <c r="D15" s="10">
        <v>12</v>
      </c>
      <c r="E15" s="10">
        <v>1</v>
      </c>
      <c r="F15" s="9">
        <v>2024</v>
      </c>
      <c r="G15" s="10">
        <v>11</v>
      </c>
      <c r="H15" s="11">
        <v>25</v>
      </c>
      <c r="J15" t="str" cm="1">
        <f t="array" ref="J15:S27">k("$$.superPivot",A1:H40,"f3,f2","f6","sum(`f4`),average(`f5`)")</f>
        <v/>
      </c>
      <c r="K15" t="str">
        <v>年</v>
      </c>
      <c r="L15" t="str">
        <v>2021</v>
      </c>
      <c r="M15" t="str">
        <v>2021</v>
      </c>
      <c r="N15" t="str">
        <v>2022</v>
      </c>
      <c r="O15" t="str">
        <v>2022</v>
      </c>
      <c r="P15" t="str">
        <v>2023</v>
      </c>
      <c r="Q15" t="str">
        <v>2023</v>
      </c>
      <c r="R15" t="str">
        <v>2024</v>
      </c>
      <c r="S15" t="str">
        <v>2024</v>
      </c>
    </row>
    <row r="16" ht="17.6" spans="1:23">
      <c r="A16" s="6">
        <v>15</v>
      </c>
      <c r="B16" s="6" t="s">
        <v>70</v>
      </c>
      <c r="C16" s="6" t="s">
        <v>78</v>
      </c>
      <c r="D16" s="7">
        <v>16</v>
      </c>
      <c r="E16" s="7">
        <v>1</v>
      </c>
      <c r="F16" s="6">
        <v>2023</v>
      </c>
      <c r="G16" s="7">
        <v>8</v>
      </c>
      <c r="H16" s="8">
        <v>22</v>
      </c>
      <c r="J16" t="str">
        <v>国家</v>
      </c>
      <c r="K16" t="str">
        <v>产品</v>
      </c>
      <c r="L16" t="str">
        <v>求和</v>
      </c>
      <c r="M16" t="str">
        <v>平均</v>
      </c>
      <c r="N16" t="str">
        <v>求和</v>
      </c>
      <c r="O16" t="str">
        <v>平均</v>
      </c>
      <c r="P16" t="str">
        <v>求和</v>
      </c>
      <c r="Q16" t="str">
        <v>平均</v>
      </c>
      <c r="R16" t="str">
        <v>求和</v>
      </c>
      <c r="S16" t="str">
        <v>平均</v>
      </c>
    </row>
    <row r="17" ht="18.35" spans="1:19">
      <c r="A17" s="9">
        <v>16</v>
      </c>
      <c r="B17" s="9" t="s">
        <v>70</v>
      </c>
      <c r="C17" s="9" t="s">
        <v>81</v>
      </c>
      <c r="D17" s="10">
        <v>16</v>
      </c>
      <c r="E17" s="10">
        <v>1</v>
      </c>
      <c r="F17" s="9">
        <v>2022</v>
      </c>
      <c r="G17" s="10">
        <v>4</v>
      </c>
      <c r="H17" s="11">
        <v>22</v>
      </c>
      <c r="J17" t="str">
        <v>test</v>
      </c>
      <c r="K17" t="str">
        <v>    Product1</v>
      </c>
      <c r="L17">
        <v>0</v>
      </c>
      <c r="M17">
        <v>0</v>
      </c>
      <c r="N17">
        <v>0</v>
      </c>
      <c r="O17">
        <v>0</v>
      </c>
      <c r="P17">
        <v>88</v>
      </c>
      <c r="Q17">
        <v>1</v>
      </c>
      <c r="R17">
        <v>30</v>
      </c>
      <c r="S17">
        <v>1</v>
      </c>
    </row>
    <row r="18" ht="17.6" spans="1:19">
      <c r="A18" s="6">
        <v>17</v>
      </c>
      <c r="B18" s="6" t="s">
        <v>74</v>
      </c>
      <c r="C18" s="6" t="s">
        <v>71</v>
      </c>
      <c r="D18" s="7">
        <v>15</v>
      </c>
      <c r="E18" s="7">
        <v>5</v>
      </c>
      <c r="F18" s="6">
        <v>2023</v>
      </c>
      <c r="G18" s="7">
        <v>9</v>
      </c>
      <c r="H18" s="8">
        <v>17</v>
      </c>
      <c r="J18" t="str">
        <v>test</v>
      </c>
      <c r="K18" t="str">
        <v>    Product2</v>
      </c>
      <c r="L18">
        <v>0</v>
      </c>
      <c r="M18">
        <v>0</v>
      </c>
      <c r="N18">
        <v>15</v>
      </c>
      <c r="O18">
        <v>5</v>
      </c>
      <c r="P18">
        <v>26</v>
      </c>
      <c r="Q18">
        <v>5</v>
      </c>
      <c r="R18">
        <v>0</v>
      </c>
      <c r="S18">
        <v>0</v>
      </c>
    </row>
    <row r="19" ht="18.35" spans="1:19">
      <c r="A19" s="9">
        <v>18</v>
      </c>
      <c r="B19" s="9" t="s">
        <v>70</v>
      </c>
      <c r="C19" s="9" t="s">
        <v>82</v>
      </c>
      <c r="D19" s="10">
        <v>13</v>
      </c>
      <c r="E19" s="10">
        <v>1</v>
      </c>
      <c r="F19" s="9">
        <v>2023</v>
      </c>
      <c r="G19" s="10">
        <v>4</v>
      </c>
      <c r="H19" s="11">
        <v>28</v>
      </c>
      <c r="J19" t="str">
        <v>usa</v>
      </c>
      <c r="K19" t="str">
        <v>    Product2</v>
      </c>
      <c r="L19">
        <v>0</v>
      </c>
      <c r="M19">
        <v>0</v>
      </c>
      <c r="N19">
        <v>0</v>
      </c>
      <c r="O19">
        <v>0</v>
      </c>
      <c r="P19">
        <v>19</v>
      </c>
      <c r="Q19">
        <v>5</v>
      </c>
      <c r="R19">
        <v>0</v>
      </c>
      <c r="S19">
        <v>0</v>
      </c>
    </row>
    <row r="20" ht="17.6" spans="1:19">
      <c r="A20" s="6">
        <v>19</v>
      </c>
      <c r="B20" s="6" t="s">
        <v>70</v>
      </c>
      <c r="C20" s="6" t="s">
        <v>78</v>
      </c>
      <c r="D20" s="7">
        <v>18</v>
      </c>
      <c r="E20" s="7">
        <v>1</v>
      </c>
      <c r="F20" s="6">
        <v>2021</v>
      </c>
      <c r="G20" s="7">
        <v>11</v>
      </c>
      <c r="H20" s="8">
        <v>20</v>
      </c>
      <c r="J20" t="str">
        <v>中国</v>
      </c>
      <c r="K20" t="str">
        <v>    Product1</v>
      </c>
      <c r="L20">
        <v>19</v>
      </c>
      <c r="M20">
        <v>1</v>
      </c>
      <c r="N20">
        <v>24</v>
      </c>
      <c r="O20">
        <v>1</v>
      </c>
      <c r="P20">
        <v>17</v>
      </c>
      <c r="Q20">
        <v>1</v>
      </c>
      <c r="R20">
        <v>11</v>
      </c>
      <c r="S20">
        <v>1</v>
      </c>
    </row>
    <row r="21" ht="18.35" spans="1:19">
      <c r="A21" s="9">
        <v>20</v>
      </c>
      <c r="B21" s="9" t="s">
        <v>70</v>
      </c>
      <c r="C21" s="9" t="s">
        <v>81</v>
      </c>
      <c r="D21" s="10">
        <v>12</v>
      </c>
      <c r="E21" s="10">
        <v>1</v>
      </c>
      <c r="F21" s="9">
        <v>2023</v>
      </c>
      <c r="G21" s="10">
        <v>7</v>
      </c>
      <c r="H21" s="11">
        <v>13</v>
      </c>
      <c r="J21" t="str">
        <v>中国</v>
      </c>
      <c r="K21" t="str">
        <v>    Product2</v>
      </c>
      <c r="L21">
        <v>0</v>
      </c>
      <c r="M21">
        <v>0</v>
      </c>
      <c r="N21">
        <v>0</v>
      </c>
      <c r="O21">
        <v>0</v>
      </c>
      <c r="P21">
        <v>15</v>
      </c>
      <c r="Q21">
        <v>5</v>
      </c>
      <c r="R21">
        <v>0</v>
      </c>
      <c r="S21">
        <v>0</v>
      </c>
    </row>
    <row r="22" ht="17.6" spans="1:19">
      <c r="A22" s="6">
        <v>21</v>
      </c>
      <c r="B22" s="6" t="s">
        <v>70</v>
      </c>
      <c r="C22" s="6" t="s">
        <v>71</v>
      </c>
      <c r="D22" s="7">
        <v>18</v>
      </c>
      <c r="E22" s="7">
        <v>1</v>
      </c>
      <c r="F22" s="6">
        <v>2021</v>
      </c>
      <c r="G22" s="7">
        <v>1</v>
      </c>
      <c r="H22" s="8">
        <v>23</v>
      </c>
      <c r="J22" t="str">
        <v>德国</v>
      </c>
      <c r="K22" t="str">
        <v>    Product1</v>
      </c>
      <c r="L22">
        <v>18</v>
      </c>
      <c r="M22">
        <v>1</v>
      </c>
      <c r="N22">
        <v>0</v>
      </c>
      <c r="O22">
        <v>0</v>
      </c>
      <c r="P22">
        <v>44</v>
      </c>
      <c r="Q22">
        <v>1</v>
      </c>
      <c r="R22">
        <v>12</v>
      </c>
      <c r="S22">
        <v>1</v>
      </c>
    </row>
    <row r="23" ht="18.35" spans="1:19">
      <c r="A23" s="9">
        <v>22</v>
      </c>
      <c r="B23" s="9" t="s">
        <v>70</v>
      </c>
      <c r="C23" s="9" t="s">
        <v>82</v>
      </c>
      <c r="D23" s="10">
        <v>16</v>
      </c>
      <c r="E23" s="10">
        <v>1</v>
      </c>
      <c r="F23" s="9">
        <v>2023</v>
      </c>
      <c r="G23" s="10">
        <v>2</v>
      </c>
      <c r="H23" s="11">
        <v>18</v>
      </c>
      <c r="J23" t="str">
        <v>德国</v>
      </c>
      <c r="K23" t="str">
        <v>    Product2</v>
      </c>
      <c r="L23">
        <v>0</v>
      </c>
      <c r="M23">
        <v>0</v>
      </c>
      <c r="N23">
        <v>0</v>
      </c>
      <c r="O23">
        <v>0</v>
      </c>
      <c r="P23">
        <v>18</v>
      </c>
      <c r="Q23">
        <v>5</v>
      </c>
      <c r="R23">
        <v>0</v>
      </c>
      <c r="S23">
        <v>0</v>
      </c>
    </row>
    <row r="24" ht="17.6" spans="1:19">
      <c r="A24" s="6">
        <v>23</v>
      </c>
      <c r="B24" s="6" t="s">
        <v>74</v>
      </c>
      <c r="C24" s="6" t="s">
        <v>78</v>
      </c>
      <c r="D24" s="7">
        <v>15</v>
      </c>
      <c r="E24" s="7">
        <v>5</v>
      </c>
      <c r="F24" s="6">
        <v>2022</v>
      </c>
      <c r="G24" s="7">
        <v>9</v>
      </c>
      <c r="H24" s="8">
        <v>1</v>
      </c>
      <c r="J24" t="str">
        <v>美国</v>
      </c>
      <c r="K24" t="str">
        <v>    Product1</v>
      </c>
      <c r="L24">
        <v>0</v>
      </c>
      <c r="M24">
        <v>0</v>
      </c>
      <c r="N24">
        <v>16</v>
      </c>
      <c r="O24">
        <v>1</v>
      </c>
      <c r="P24">
        <v>40</v>
      </c>
      <c r="Q24">
        <v>1</v>
      </c>
      <c r="R24">
        <v>0</v>
      </c>
      <c r="S24">
        <v>0</v>
      </c>
    </row>
    <row r="25" ht="18.35" spans="1:19">
      <c r="A25" s="9">
        <v>24</v>
      </c>
      <c r="B25" s="9" t="s">
        <v>70</v>
      </c>
      <c r="C25" s="9" t="s">
        <v>81</v>
      </c>
      <c r="D25" s="10">
        <v>12</v>
      </c>
      <c r="E25" s="10">
        <v>1</v>
      </c>
      <c r="F25" s="9">
        <v>2023</v>
      </c>
      <c r="G25" s="10">
        <v>2</v>
      </c>
      <c r="H25" s="11">
        <v>21</v>
      </c>
      <c r="J25" t="str">
        <v>美国</v>
      </c>
      <c r="K25" t="str">
        <v>    Product2</v>
      </c>
      <c r="L25">
        <v>0</v>
      </c>
      <c r="M25">
        <v>0</v>
      </c>
      <c r="N25">
        <v>0</v>
      </c>
      <c r="O25">
        <v>0</v>
      </c>
      <c r="P25">
        <v>24</v>
      </c>
      <c r="Q25">
        <v>5</v>
      </c>
      <c r="R25">
        <v>15</v>
      </c>
      <c r="S25">
        <v>5</v>
      </c>
    </row>
    <row r="26" ht="17.6" spans="1:19">
      <c r="A26" s="6">
        <v>25</v>
      </c>
      <c r="B26" s="6" t="s">
        <v>70</v>
      </c>
      <c r="C26" s="6" t="s">
        <v>71</v>
      </c>
      <c r="D26" s="7">
        <v>17</v>
      </c>
      <c r="E26" s="7">
        <v>1</v>
      </c>
      <c r="F26" s="6">
        <v>2023</v>
      </c>
      <c r="G26" s="7">
        <v>11</v>
      </c>
      <c r="H26" s="8">
        <v>2</v>
      </c>
      <c r="J26" t="str">
        <v>英国</v>
      </c>
      <c r="K26" t="str">
        <v>    Product1</v>
      </c>
      <c r="L26">
        <v>18</v>
      </c>
      <c r="M26">
        <v>1</v>
      </c>
      <c r="N26">
        <v>0</v>
      </c>
      <c r="O26">
        <v>0</v>
      </c>
      <c r="P26">
        <v>16</v>
      </c>
      <c r="Q26">
        <v>1</v>
      </c>
      <c r="R26">
        <v>15</v>
      </c>
      <c r="S26">
        <v>1</v>
      </c>
    </row>
    <row r="27" ht="18.35" spans="1:19">
      <c r="A27" s="9">
        <v>26</v>
      </c>
      <c r="B27" s="9" t="s">
        <v>70</v>
      </c>
      <c r="C27" s="9" t="s">
        <v>82</v>
      </c>
      <c r="D27" s="10">
        <v>15</v>
      </c>
      <c r="E27" s="10">
        <v>1</v>
      </c>
      <c r="F27" s="9">
        <v>2023</v>
      </c>
      <c r="G27" s="10">
        <v>11</v>
      </c>
      <c r="H27" s="11">
        <v>16</v>
      </c>
      <c r="J27" t="str">
        <v>英国</v>
      </c>
      <c r="K27" t="str">
        <v>    Product2</v>
      </c>
      <c r="L27">
        <v>0</v>
      </c>
      <c r="M27">
        <v>0</v>
      </c>
      <c r="N27">
        <v>45</v>
      </c>
      <c r="O27">
        <v>5</v>
      </c>
      <c r="P27">
        <v>11</v>
      </c>
      <c r="Q27">
        <v>5</v>
      </c>
      <c r="R27">
        <v>0</v>
      </c>
      <c r="S27">
        <v>0</v>
      </c>
    </row>
    <row r="28" ht="17.6" spans="1:19">
      <c r="A28" s="9">
        <v>27</v>
      </c>
      <c r="B28" s="6" t="s">
        <v>70</v>
      </c>
      <c r="C28" s="6" t="s">
        <v>78</v>
      </c>
      <c r="D28" s="7">
        <v>15</v>
      </c>
      <c r="E28" s="7">
        <v>1</v>
      </c>
      <c r="F28" s="6">
        <v>2024</v>
      </c>
      <c r="G28" s="7">
        <v>10</v>
      </c>
      <c r="H28" s="8">
        <v>23</v>
      </c>
    </row>
    <row r="29" ht="18.35" spans="1:19">
      <c r="A29" s="9">
        <v>28</v>
      </c>
      <c r="B29" s="9" t="s">
        <v>74</v>
      </c>
      <c r="C29" s="9" t="s">
        <v>81</v>
      </c>
      <c r="D29" s="10">
        <v>13</v>
      </c>
      <c r="E29" s="10">
        <v>5</v>
      </c>
      <c r="F29" s="9">
        <v>2023</v>
      </c>
      <c r="G29" s="10">
        <v>1</v>
      </c>
      <c r="H29" s="11">
        <v>26</v>
      </c>
    </row>
    <row r="30" ht="17.6" spans="1:19">
      <c r="A30" s="6">
        <v>23</v>
      </c>
      <c r="B30" s="6" t="s">
        <v>74</v>
      </c>
      <c r="C30" s="6" t="s">
        <v>83</v>
      </c>
      <c r="D30" s="7">
        <v>15</v>
      </c>
      <c r="E30" s="7">
        <v>5</v>
      </c>
      <c r="F30" s="6">
        <v>2022</v>
      </c>
      <c r="G30" s="7">
        <v>9</v>
      </c>
      <c r="H30" s="8">
        <v>1</v>
      </c>
    </row>
    <row r="31" ht="18.35" spans="1:19">
      <c r="A31" s="9">
        <v>24</v>
      </c>
      <c r="B31" s="9" t="s">
        <v>70</v>
      </c>
      <c r="C31" s="9" t="s">
        <v>83</v>
      </c>
      <c r="D31" s="10">
        <v>12</v>
      </c>
      <c r="E31" s="10">
        <v>1</v>
      </c>
      <c r="F31" s="9">
        <v>2023</v>
      </c>
      <c r="G31" s="10">
        <v>2</v>
      </c>
      <c r="H31" s="11">
        <v>21</v>
      </c>
    </row>
    <row r="32" ht="17.6" spans="1:19">
      <c r="A32" s="6">
        <v>25</v>
      </c>
      <c r="B32" s="6" t="s">
        <v>70</v>
      </c>
      <c r="C32" s="6" t="s">
        <v>83</v>
      </c>
      <c r="D32" s="7">
        <v>17</v>
      </c>
      <c r="E32" s="7">
        <v>1</v>
      </c>
      <c r="F32" s="6">
        <v>2023</v>
      </c>
      <c r="G32" s="7">
        <v>11</v>
      </c>
      <c r="H32" s="8">
        <v>2</v>
      </c>
    </row>
    <row r="33" ht="18.35" spans="1:18">
      <c r="A33" s="9">
        <v>26</v>
      </c>
      <c r="B33" s="9" t="s">
        <v>70</v>
      </c>
      <c r="C33" s="9" t="s">
        <v>83</v>
      </c>
      <c r="D33" s="10">
        <v>15</v>
      </c>
      <c r="E33" s="10">
        <v>1</v>
      </c>
      <c r="F33" s="9">
        <v>2023</v>
      </c>
      <c r="G33" s="10">
        <v>11</v>
      </c>
      <c r="H33" s="11">
        <v>16</v>
      </c>
    </row>
    <row r="34" ht="17.6" spans="1:18">
      <c r="A34" s="9">
        <v>27</v>
      </c>
      <c r="B34" s="6" t="s">
        <v>70</v>
      </c>
      <c r="C34" s="6" t="s">
        <v>83</v>
      </c>
      <c r="D34" s="7">
        <v>15</v>
      </c>
      <c r="E34" s="7">
        <v>1</v>
      </c>
      <c r="F34" s="6">
        <v>2024</v>
      </c>
      <c r="G34" s="7">
        <v>10</v>
      </c>
      <c r="H34" s="8">
        <v>23</v>
      </c>
    </row>
    <row r="35" ht="17.6" spans="1:18">
      <c r="A35" s="9">
        <v>28</v>
      </c>
      <c r="B35" s="9" t="s">
        <v>74</v>
      </c>
      <c r="C35" s="9" t="s">
        <v>83</v>
      </c>
      <c r="D35" s="10">
        <v>13</v>
      </c>
      <c r="E35" s="10">
        <v>5</v>
      </c>
      <c r="F35" s="9">
        <v>2023</v>
      </c>
      <c r="G35" s="10">
        <v>1</v>
      </c>
      <c r="H35" s="11">
        <v>26</v>
      </c>
    </row>
    <row r="36" ht="18.35" spans="1:18">
      <c r="A36" s="9">
        <v>24</v>
      </c>
      <c r="B36" s="9" t="s">
        <v>70</v>
      </c>
      <c r="C36" s="9" t="s">
        <v>83</v>
      </c>
      <c r="D36" s="10">
        <v>12</v>
      </c>
      <c r="E36" s="10">
        <v>1</v>
      </c>
      <c r="F36" s="9">
        <v>2023</v>
      </c>
      <c r="G36" s="10">
        <v>2</v>
      </c>
      <c r="H36" s="11">
        <v>21</v>
      </c>
    </row>
    <row r="37" ht="17.6" spans="1:18">
      <c r="A37" s="6">
        <v>25</v>
      </c>
      <c r="B37" s="6" t="s">
        <v>70</v>
      </c>
      <c r="C37" s="6" t="s">
        <v>83</v>
      </c>
      <c r="D37" s="7">
        <v>17</v>
      </c>
      <c r="E37" s="7">
        <v>1</v>
      </c>
      <c r="F37" s="6">
        <v>2023</v>
      </c>
      <c r="G37" s="7">
        <v>11</v>
      </c>
      <c r="H37" s="8">
        <v>2</v>
      </c>
    </row>
    <row r="38" ht="18.35" spans="1:18">
      <c r="A38" s="9">
        <v>26</v>
      </c>
      <c r="B38" s="9" t="s">
        <v>70</v>
      </c>
      <c r="C38" s="9" t="s">
        <v>83</v>
      </c>
      <c r="D38" s="10">
        <v>15</v>
      </c>
      <c r="E38" s="10">
        <v>1</v>
      </c>
      <c r="F38" s="9">
        <v>2023</v>
      </c>
      <c r="G38" s="10">
        <v>11</v>
      </c>
      <c r="H38" s="11">
        <v>16</v>
      </c>
    </row>
    <row r="39" ht="17.6" spans="1:18">
      <c r="A39" s="9">
        <v>27</v>
      </c>
      <c r="B39" s="6" t="s">
        <v>70</v>
      </c>
      <c r="C39" s="6" t="s">
        <v>83</v>
      </c>
      <c r="D39" s="7">
        <v>15</v>
      </c>
      <c r="E39" s="7">
        <v>1</v>
      </c>
      <c r="F39" s="6">
        <v>2024</v>
      </c>
      <c r="G39" s="7">
        <v>10</v>
      </c>
      <c r="H39" s="8">
        <v>23</v>
      </c>
      <c r="J39" t="str" cm="1">
        <f t="array" ref="J39:R42">k("$$.superPivot",A1:H40,"f2","f6","sum(`f4`),average(`f5`)")</f>
        <v>年</v>
      </c>
      <c r="K39" t="str">
        <v>2021</v>
      </c>
      <c r="L39" t="str">
        <v>2021</v>
      </c>
      <c r="M39" t="str">
        <v>2022</v>
      </c>
      <c r="N39" t="str">
        <v>2022</v>
      </c>
      <c r="O39" t="str">
        <v>2023</v>
      </c>
      <c r="P39" t="str">
        <v>2023</v>
      </c>
      <c r="Q39" t="str">
        <v>2024</v>
      </c>
      <c r="R39" t="str">
        <v>2024</v>
      </c>
    </row>
    <row r="40" ht="17.6" spans="1:18">
      <c r="A40" s="9">
        <v>28</v>
      </c>
      <c r="B40" s="9" t="s">
        <v>74</v>
      </c>
      <c r="C40" s="9" t="s">
        <v>83</v>
      </c>
      <c r="D40" s="10">
        <v>13</v>
      </c>
      <c r="E40" s="10">
        <v>5</v>
      </c>
      <c r="F40" s="9">
        <v>2023</v>
      </c>
      <c r="G40" s="10">
        <v>1</v>
      </c>
      <c r="H40" s="11">
        <v>26</v>
      </c>
      <c r="J40" t="str">
        <v>产品</v>
      </c>
      <c r="K40" t="str">
        <v>求和</v>
      </c>
      <c r="L40" t="str">
        <v>平均</v>
      </c>
      <c r="M40" t="str">
        <v>求和</v>
      </c>
      <c r="N40" t="str">
        <v>平均</v>
      </c>
      <c r="O40" t="str">
        <v>求和</v>
      </c>
      <c r="P40" t="str">
        <v>平均</v>
      </c>
      <c r="Q40" t="str">
        <v>求和</v>
      </c>
      <c r="R40" t="str">
        <v>平均</v>
      </c>
    </row>
    <row r="41" spans="1:18">
      <c r="J41" t="str">
        <v>Product1</v>
      </c>
      <c r="K41">
        <v>55</v>
      </c>
      <c r="L41">
        <v>1</v>
      </c>
      <c r="M41">
        <v>40</v>
      </c>
      <c r="N41">
        <v>1</v>
      </c>
      <c r="O41">
        <v>205</v>
      </c>
      <c r="P41">
        <v>1</v>
      </c>
      <c r="Q41">
        <v>68</v>
      </c>
      <c r="R41">
        <v>1</v>
      </c>
    </row>
    <row r="42" spans="1:18">
      <c r="J42" t="str">
        <v>Product2</v>
      </c>
      <c r="K42">
        <v>0</v>
      </c>
      <c r="L42">
        <v>0</v>
      </c>
      <c r="M42">
        <v>60</v>
      </c>
      <c r="N42">
        <v>5</v>
      </c>
      <c r="O42">
        <v>113</v>
      </c>
      <c r="P42">
        <v>5</v>
      </c>
      <c r="Q42">
        <v>15</v>
      </c>
      <c r="R42">
        <v>5</v>
      </c>
    </row>
  </sheetData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N40"/>
  <sheetViews>
    <sheetView topLeftCell="G1" workbookViewId="0">
      <selection activeCell="J2" sqref="J2"/>
    </sheetView>
  </sheetViews>
  <sheetFormatPr defaultColWidth="8.88461538461539" defaultRowHeight="16.8"/>
  <cols>
    <col min="1" max="1" width="8.77884615384615" customWidth="1"/>
    <col min="2" max="2" width="12" customWidth="1"/>
    <col min="3" max="3" width="7.22115384615385" customWidth="1"/>
    <col min="4" max="4" width="8.88461538461539" style="2"/>
    <col min="5" max="5" width="7.33653846153846" style="2" customWidth="1"/>
    <col min="7" max="8" width="7.77884615384615" style="2" customWidth="1"/>
    <col min="9" max="9" width="7.41346153846154" customWidth="1"/>
    <col min="13" max="13" width="20.2788461538462" customWidth="1"/>
    <col min="14" max="14" width="25.375" customWidth="1"/>
    <col min="16" max="16" width="14.8365384615385" customWidth="1"/>
  </cols>
  <sheetData>
    <row r="1" ht="18.35" spans="1:14">
      <c r="A1" s="3" t="s">
        <v>61</v>
      </c>
      <c r="B1" s="4" t="s">
        <v>62</v>
      </c>
      <c r="C1" s="4" t="s">
        <v>63</v>
      </c>
      <c r="D1" s="4" t="s">
        <v>4</v>
      </c>
      <c r="E1" s="4" t="s">
        <v>64</v>
      </c>
      <c r="F1" s="4" t="s">
        <v>65</v>
      </c>
      <c r="G1" s="4" t="s">
        <v>66</v>
      </c>
      <c r="H1" s="5" t="s">
        <v>67</v>
      </c>
      <c r="J1" t="str" cm="1">
        <f t="array" ref="J1:N6">k("(...args)=&gt;$$.superPivot(...args).filter((x,i)=&gt;i==0 || x.f2=='Product1')",A1:H40,"f3,f2","","count(),sum(`f4`),textjoin(`f4`,`+`)")</f>
        <v>国家</v>
      </c>
      <c r="K1" t="str">
        <v>产品</v>
      </c>
      <c r="L1" t="str">
        <v>计数</v>
      </c>
      <c r="M1" t="str">
        <v>求和</v>
      </c>
      <c r="N1" t="str">
        <v>多项合并</v>
      </c>
    </row>
    <row r="2" ht="18.35" spans="1:14">
      <c r="A2" s="6">
        <v>1</v>
      </c>
      <c r="B2" s="6" t="s">
        <v>70</v>
      </c>
      <c r="C2" s="6" t="s">
        <v>71</v>
      </c>
      <c r="D2" s="7">
        <v>1</v>
      </c>
      <c r="E2" s="7">
        <v>1</v>
      </c>
      <c r="F2" s="6">
        <v>2021</v>
      </c>
      <c r="G2" s="7">
        <v>10</v>
      </c>
      <c r="H2" s="8">
        <v>10</v>
      </c>
      <c r="J2" t="str">
        <v>test</v>
      </c>
      <c r="K2" t="str">
        <v>    Product1</v>
      </c>
      <c r="L2">
        <v>8</v>
      </c>
      <c r="M2">
        <v>118</v>
      </c>
      <c r="N2" t="str">
        <v>12+17+15+15+12+17+15+15</v>
      </c>
    </row>
    <row r="3" ht="18.35" spans="1:14">
      <c r="A3" s="6">
        <v>2</v>
      </c>
      <c r="B3" s="6" t="s">
        <v>74</v>
      </c>
      <c r="C3" s="6" t="s">
        <v>75</v>
      </c>
      <c r="D3" s="7">
        <v>19</v>
      </c>
      <c r="E3" s="7">
        <v>5</v>
      </c>
      <c r="F3" s="6">
        <v>2023</v>
      </c>
      <c r="G3" s="7">
        <v>4</v>
      </c>
      <c r="H3" s="8">
        <v>5</v>
      </c>
      <c r="J3" t="str">
        <v>中国</v>
      </c>
      <c r="K3" t="str">
        <v>    Product1</v>
      </c>
      <c r="L3">
        <v>6</v>
      </c>
      <c r="M3">
        <v>71</v>
      </c>
      <c r="N3" t="str">
        <v>1+11+13+11+18+17</v>
      </c>
    </row>
    <row r="4" ht="18.35" spans="1:14">
      <c r="A4" s="6">
        <v>3</v>
      </c>
      <c r="B4" s="6" t="s">
        <v>74</v>
      </c>
      <c r="C4" s="6" t="s">
        <v>78</v>
      </c>
      <c r="D4" s="7">
        <v>19</v>
      </c>
      <c r="E4" s="7">
        <v>5</v>
      </c>
      <c r="F4" s="6">
        <v>2022</v>
      </c>
      <c r="G4" s="7">
        <v>6</v>
      </c>
      <c r="H4" s="8">
        <v>28</v>
      </c>
      <c r="J4" t="str">
        <v>德国</v>
      </c>
      <c r="K4" t="str">
        <v>    Product1</v>
      </c>
      <c r="L4">
        <v>5</v>
      </c>
      <c r="M4">
        <v>74</v>
      </c>
      <c r="N4" t="str">
        <v>18+12+13+16+15</v>
      </c>
    </row>
    <row r="5" ht="18.35" spans="1:14">
      <c r="A5" s="6">
        <v>4</v>
      </c>
      <c r="B5" s="6" t="s">
        <v>74</v>
      </c>
      <c r="C5" s="6" t="s">
        <v>81</v>
      </c>
      <c r="D5" s="7">
        <v>15</v>
      </c>
      <c r="E5" s="7">
        <v>5</v>
      </c>
      <c r="F5" s="6">
        <v>2024</v>
      </c>
      <c r="G5" s="7">
        <v>5</v>
      </c>
      <c r="H5" s="8">
        <v>1</v>
      </c>
      <c r="J5" t="str">
        <v>美国</v>
      </c>
      <c r="K5" t="str">
        <v>    Product1</v>
      </c>
      <c r="L5">
        <v>4</v>
      </c>
      <c r="M5">
        <v>56</v>
      </c>
      <c r="N5" t="str">
        <v>16+16+12+12</v>
      </c>
    </row>
    <row r="6" ht="18.35" spans="1:14">
      <c r="A6" s="6">
        <v>5</v>
      </c>
      <c r="B6" s="6" t="s">
        <v>70</v>
      </c>
      <c r="C6" s="6" t="s">
        <v>71</v>
      </c>
      <c r="D6" s="7">
        <v>11</v>
      </c>
      <c r="E6" s="7">
        <v>1</v>
      </c>
      <c r="F6" s="6">
        <v>2024</v>
      </c>
      <c r="G6" s="7">
        <v>11</v>
      </c>
      <c r="H6" s="8">
        <v>15</v>
      </c>
      <c r="J6" t="str">
        <v>英国</v>
      </c>
      <c r="K6" t="str">
        <v>    Product1</v>
      </c>
      <c r="L6">
        <v>3</v>
      </c>
      <c r="M6">
        <v>49</v>
      </c>
      <c r="N6" t="str">
        <v>16+18+15</v>
      </c>
    </row>
    <row r="7" ht="18.35" spans="1:14">
      <c r="A7" s="6">
        <v>6</v>
      </c>
      <c r="B7" s="6" t="s">
        <v>74</v>
      </c>
      <c r="C7" s="6" t="s">
        <v>82</v>
      </c>
      <c r="D7" s="7">
        <v>18</v>
      </c>
      <c r="E7" s="7">
        <v>5</v>
      </c>
      <c r="F7" s="6">
        <v>2023</v>
      </c>
      <c r="G7" s="7">
        <v>2</v>
      </c>
      <c r="H7" s="8">
        <v>18</v>
      </c>
    </row>
    <row r="8" ht="18.35" spans="1:14">
      <c r="A8" s="6">
        <v>7</v>
      </c>
      <c r="B8" s="6" t="s">
        <v>74</v>
      </c>
      <c r="C8" s="6" t="s">
        <v>78</v>
      </c>
      <c r="D8" s="7">
        <v>11</v>
      </c>
      <c r="E8" s="7">
        <v>5</v>
      </c>
      <c r="F8" s="6">
        <v>2023</v>
      </c>
      <c r="G8" s="7">
        <v>6</v>
      </c>
      <c r="H8" s="8">
        <v>16</v>
      </c>
    </row>
    <row r="9" ht="18.35" spans="1:14">
      <c r="A9" s="6">
        <v>8</v>
      </c>
      <c r="B9" s="6" t="s">
        <v>74</v>
      </c>
      <c r="C9" s="6" t="s">
        <v>81</v>
      </c>
      <c r="D9" s="7">
        <v>11</v>
      </c>
      <c r="E9" s="7">
        <v>5</v>
      </c>
      <c r="F9" s="6">
        <v>2023</v>
      </c>
      <c r="G9" s="7">
        <v>6</v>
      </c>
      <c r="H9" s="8">
        <v>21</v>
      </c>
    </row>
    <row r="10" ht="18.35" spans="1:14">
      <c r="A10" s="6">
        <v>9</v>
      </c>
      <c r="B10" s="6" t="s">
        <v>70</v>
      </c>
      <c r="C10" s="6" t="s">
        <v>71</v>
      </c>
      <c r="D10" s="7">
        <v>13</v>
      </c>
      <c r="E10" s="7">
        <v>1</v>
      </c>
      <c r="F10" s="6">
        <v>2022</v>
      </c>
      <c r="G10" s="7">
        <v>7</v>
      </c>
      <c r="H10" s="8">
        <v>18</v>
      </c>
    </row>
    <row r="11" ht="18.35" spans="1:14">
      <c r="A11" s="6">
        <v>10</v>
      </c>
      <c r="B11" s="6" t="s">
        <v>70</v>
      </c>
      <c r="C11" s="6" t="s">
        <v>82</v>
      </c>
      <c r="D11" s="7">
        <v>18</v>
      </c>
      <c r="E11" s="7">
        <v>1</v>
      </c>
      <c r="F11" s="6">
        <v>2021</v>
      </c>
      <c r="G11" s="7">
        <v>11</v>
      </c>
      <c r="H11" s="8">
        <v>13</v>
      </c>
    </row>
    <row r="12" ht="18.35" spans="1:14">
      <c r="A12" s="6">
        <v>11</v>
      </c>
      <c r="B12" s="6" t="s">
        <v>74</v>
      </c>
      <c r="C12" s="6" t="s">
        <v>78</v>
      </c>
      <c r="D12" s="7">
        <v>11</v>
      </c>
      <c r="E12" s="7">
        <v>5</v>
      </c>
      <c r="F12" s="6">
        <v>2022</v>
      </c>
      <c r="G12" s="7">
        <v>10</v>
      </c>
      <c r="H12" s="8">
        <v>7</v>
      </c>
    </row>
    <row r="13" ht="18.35" spans="1:14">
      <c r="A13" s="6">
        <v>12</v>
      </c>
      <c r="B13" s="6" t="s">
        <v>70</v>
      </c>
      <c r="C13" s="6" t="s">
        <v>81</v>
      </c>
      <c r="D13" s="7">
        <v>16</v>
      </c>
      <c r="E13" s="7">
        <v>1</v>
      </c>
      <c r="F13" s="6">
        <v>2023</v>
      </c>
      <c r="G13" s="7">
        <v>5</v>
      </c>
      <c r="H13" s="8">
        <v>15</v>
      </c>
    </row>
    <row r="14" ht="17.6" spans="1:14">
      <c r="A14" s="6">
        <v>13</v>
      </c>
      <c r="B14" s="6" t="s">
        <v>70</v>
      </c>
      <c r="C14" s="6" t="s">
        <v>71</v>
      </c>
      <c r="D14" s="7">
        <v>11</v>
      </c>
      <c r="E14" s="7">
        <v>1</v>
      </c>
      <c r="F14" s="6">
        <v>2022</v>
      </c>
      <c r="G14" s="7">
        <v>9</v>
      </c>
      <c r="H14" s="8">
        <v>2</v>
      </c>
    </row>
    <row r="15" ht="18.35" spans="1:14">
      <c r="A15" s="9">
        <v>14</v>
      </c>
      <c r="B15" s="9" t="s">
        <v>70</v>
      </c>
      <c r="C15" s="9" t="s">
        <v>82</v>
      </c>
      <c r="D15" s="10">
        <v>12</v>
      </c>
      <c r="E15" s="10">
        <v>1</v>
      </c>
      <c r="F15" s="9">
        <v>2024</v>
      </c>
      <c r="G15" s="10">
        <v>11</v>
      </c>
      <c r="H15" s="11">
        <v>25</v>
      </c>
    </row>
    <row r="16" ht="17.6" spans="1:14">
      <c r="A16" s="6">
        <v>15</v>
      </c>
      <c r="B16" s="6" t="s">
        <v>70</v>
      </c>
      <c r="C16" s="6" t="s">
        <v>78</v>
      </c>
      <c r="D16" s="7">
        <v>16</v>
      </c>
      <c r="E16" s="7">
        <v>1</v>
      </c>
      <c r="F16" s="6">
        <v>2023</v>
      </c>
      <c r="G16" s="7">
        <v>8</v>
      </c>
      <c r="H16" s="8">
        <v>22</v>
      </c>
    </row>
    <row r="17" ht="18.35" spans="1:8">
      <c r="A17" s="9">
        <v>16</v>
      </c>
      <c r="B17" s="9" t="s">
        <v>70</v>
      </c>
      <c r="C17" s="9" t="s">
        <v>81</v>
      </c>
      <c r="D17" s="10">
        <v>16</v>
      </c>
      <c r="E17" s="10">
        <v>1</v>
      </c>
      <c r="F17" s="9">
        <v>2022</v>
      </c>
      <c r="G17" s="10">
        <v>4</v>
      </c>
      <c r="H17" s="11">
        <v>22</v>
      </c>
    </row>
    <row r="18" ht="17.6" spans="1:8">
      <c r="A18" s="6">
        <v>17</v>
      </c>
      <c r="B18" s="6" t="s">
        <v>74</v>
      </c>
      <c r="C18" s="6" t="s">
        <v>71</v>
      </c>
      <c r="D18" s="7">
        <v>15</v>
      </c>
      <c r="E18" s="7">
        <v>5</v>
      </c>
      <c r="F18" s="6">
        <v>2023</v>
      </c>
      <c r="G18" s="7">
        <v>9</v>
      </c>
      <c r="H18" s="8">
        <v>17</v>
      </c>
    </row>
    <row r="19" ht="18.35" spans="1:8">
      <c r="A19" s="9">
        <v>18</v>
      </c>
      <c r="B19" s="9" t="s">
        <v>70</v>
      </c>
      <c r="C19" s="9" t="s">
        <v>82</v>
      </c>
      <c r="D19" s="10">
        <v>13</v>
      </c>
      <c r="E19" s="10">
        <v>1</v>
      </c>
      <c r="F19" s="9">
        <v>2023</v>
      </c>
      <c r="G19" s="10">
        <v>4</v>
      </c>
      <c r="H19" s="11">
        <v>28</v>
      </c>
    </row>
    <row r="20" ht="17.6" spans="1:8">
      <c r="A20" s="6">
        <v>19</v>
      </c>
      <c r="B20" s="6" t="s">
        <v>70</v>
      </c>
      <c r="C20" s="6" t="s">
        <v>78</v>
      </c>
      <c r="D20" s="7">
        <v>18</v>
      </c>
      <c r="E20" s="7">
        <v>1</v>
      </c>
      <c r="F20" s="6">
        <v>2021</v>
      </c>
      <c r="G20" s="7">
        <v>11</v>
      </c>
      <c r="H20" s="8">
        <v>20</v>
      </c>
    </row>
    <row r="21" ht="18.35" spans="1:8">
      <c r="A21" s="9">
        <v>20</v>
      </c>
      <c r="B21" s="9" t="s">
        <v>70</v>
      </c>
      <c r="C21" s="9" t="s">
        <v>81</v>
      </c>
      <c r="D21" s="10">
        <v>12</v>
      </c>
      <c r="E21" s="10">
        <v>1</v>
      </c>
      <c r="F21" s="9">
        <v>2023</v>
      </c>
      <c r="G21" s="10">
        <v>7</v>
      </c>
      <c r="H21" s="11">
        <v>13</v>
      </c>
    </row>
    <row r="22" ht="17.6" spans="1:8">
      <c r="A22" s="6">
        <v>21</v>
      </c>
      <c r="B22" s="6" t="s">
        <v>70</v>
      </c>
      <c r="C22" s="6" t="s">
        <v>71</v>
      </c>
      <c r="D22" s="7">
        <v>18</v>
      </c>
      <c r="E22" s="7">
        <v>1</v>
      </c>
      <c r="F22" s="6">
        <v>2021</v>
      </c>
      <c r="G22" s="7">
        <v>1</v>
      </c>
      <c r="H22" s="8">
        <v>23</v>
      </c>
    </row>
    <row r="23" ht="18.35" spans="1:8">
      <c r="A23" s="9">
        <v>22</v>
      </c>
      <c r="B23" s="9" t="s">
        <v>70</v>
      </c>
      <c r="C23" s="9" t="s">
        <v>82</v>
      </c>
      <c r="D23" s="10">
        <v>16</v>
      </c>
      <c r="E23" s="10">
        <v>1</v>
      </c>
      <c r="F23" s="9">
        <v>2023</v>
      </c>
      <c r="G23" s="10">
        <v>2</v>
      </c>
      <c r="H23" s="11">
        <v>18</v>
      </c>
    </row>
    <row r="24" ht="17.6" spans="1:8">
      <c r="A24" s="6">
        <v>23</v>
      </c>
      <c r="B24" s="6" t="s">
        <v>74</v>
      </c>
      <c r="C24" s="6" t="s">
        <v>78</v>
      </c>
      <c r="D24" s="7">
        <v>15</v>
      </c>
      <c r="E24" s="7">
        <v>5</v>
      </c>
      <c r="F24" s="6">
        <v>2022</v>
      </c>
      <c r="G24" s="7">
        <v>9</v>
      </c>
      <c r="H24" s="8">
        <v>1</v>
      </c>
    </row>
    <row r="25" ht="18.35" spans="1:8">
      <c r="A25" s="9">
        <v>24</v>
      </c>
      <c r="B25" s="9" t="s">
        <v>70</v>
      </c>
      <c r="C25" s="9" t="s">
        <v>81</v>
      </c>
      <c r="D25" s="10">
        <v>12</v>
      </c>
      <c r="E25" s="10">
        <v>1</v>
      </c>
      <c r="F25" s="9">
        <v>2023</v>
      </c>
      <c r="G25" s="10">
        <v>2</v>
      </c>
      <c r="H25" s="11">
        <v>21</v>
      </c>
    </row>
    <row r="26" ht="17.6" spans="1:8">
      <c r="A26" s="6">
        <v>25</v>
      </c>
      <c r="B26" s="6" t="s">
        <v>70</v>
      </c>
      <c r="C26" s="6" t="s">
        <v>71</v>
      </c>
      <c r="D26" s="7">
        <v>17</v>
      </c>
      <c r="E26" s="7">
        <v>1</v>
      </c>
      <c r="F26" s="6">
        <v>2023</v>
      </c>
      <c r="G26" s="7">
        <v>11</v>
      </c>
      <c r="H26" s="8">
        <v>2</v>
      </c>
    </row>
    <row r="27" ht="18.35" spans="1:8">
      <c r="A27" s="9">
        <v>26</v>
      </c>
      <c r="B27" s="9" t="s">
        <v>70</v>
      </c>
      <c r="C27" s="9" t="s">
        <v>82</v>
      </c>
      <c r="D27" s="10">
        <v>15</v>
      </c>
      <c r="E27" s="10">
        <v>1</v>
      </c>
      <c r="F27" s="9">
        <v>2023</v>
      </c>
      <c r="G27" s="10">
        <v>11</v>
      </c>
      <c r="H27" s="11">
        <v>16</v>
      </c>
    </row>
    <row r="28" ht="17.6" spans="1:8">
      <c r="A28" s="9">
        <v>27</v>
      </c>
      <c r="B28" s="6" t="s">
        <v>70</v>
      </c>
      <c r="C28" s="6" t="s">
        <v>78</v>
      </c>
      <c r="D28" s="7">
        <v>15</v>
      </c>
      <c r="E28" s="7">
        <v>1</v>
      </c>
      <c r="F28" s="6">
        <v>2024</v>
      </c>
      <c r="G28" s="7">
        <v>10</v>
      </c>
      <c r="H28" s="8">
        <v>23</v>
      </c>
    </row>
    <row r="29" ht="18.35" spans="1:8">
      <c r="A29" s="9">
        <v>28</v>
      </c>
      <c r="B29" s="9" t="s">
        <v>74</v>
      </c>
      <c r="C29" s="9" t="s">
        <v>81</v>
      </c>
      <c r="D29" s="10">
        <v>13</v>
      </c>
      <c r="E29" s="10">
        <v>5</v>
      </c>
      <c r="F29" s="9">
        <v>2023</v>
      </c>
      <c r="G29" s="10">
        <v>1</v>
      </c>
      <c r="H29" s="11">
        <v>26</v>
      </c>
    </row>
    <row r="30" ht="17.6" spans="1:8">
      <c r="A30" s="6">
        <v>23</v>
      </c>
      <c r="B30" s="6" t="s">
        <v>74</v>
      </c>
      <c r="C30" s="6" t="s">
        <v>83</v>
      </c>
      <c r="D30" s="7">
        <v>15</v>
      </c>
      <c r="E30" s="7">
        <v>5</v>
      </c>
      <c r="F30" s="6">
        <v>2022</v>
      </c>
      <c r="G30" s="7">
        <v>9</v>
      </c>
      <c r="H30" s="8">
        <v>1</v>
      </c>
    </row>
    <row r="31" ht="18.35" spans="1:8">
      <c r="A31" s="9">
        <v>24</v>
      </c>
      <c r="B31" s="9" t="s">
        <v>70</v>
      </c>
      <c r="C31" s="9" t="s">
        <v>83</v>
      </c>
      <c r="D31" s="10">
        <v>12</v>
      </c>
      <c r="E31" s="10">
        <v>1</v>
      </c>
      <c r="F31" s="9">
        <v>2023</v>
      </c>
      <c r="G31" s="10">
        <v>2</v>
      </c>
      <c r="H31" s="11">
        <v>21</v>
      </c>
    </row>
    <row r="32" ht="17.6" spans="1:8">
      <c r="A32" s="6">
        <v>25</v>
      </c>
      <c r="B32" s="6" t="s">
        <v>70</v>
      </c>
      <c r="C32" s="6" t="s">
        <v>83</v>
      </c>
      <c r="D32" s="7">
        <v>17</v>
      </c>
      <c r="E32" s="7">
        <v>1</v>
      </c>
      <c r="F32" s="6">
        <v>2023</v>
      </c>
      <c r="G32" s="7">
        <v>11</v>
      </c>
      <c r="H32" s="8">
        <v>2</v>
      </c>
    </row>
    <row r="33" ht="18.35" spans="1:8">
      <c r="A33" s="9">
        <v>26</v>
      </c>
      <c r="B33" s="9" t="s">
        <v>70</v>
      </c>
      <c r="C33" s="9" t="s">
        <v>83</v>
      </c>
      <c r="D33" s="10">
        <v>15</v>
      </c>
      <c r="E33" s="10">
        <v>1</v>
      </c>
      <c r="F33" s="9">
        <v>2023</v>
      </c>
      <c r="G33" s="10">
        <v>11</v>
      </c>
      <c r="H33" s="11">
        <v>16</v>
      </c>
    </row>
    <row r="34" ht="17.6" spans="1:8">
      <c r="A34" s="9">
        <v>27</v>
      </c>
      <c r="B34" s="6" t="s">
        <v>70</v>
      </c>
      <c r="C34" s="6" t="s">
        <v>83</v>
      </c>
      <c r="D34" s="7">
        <v>15</v>
      </c>
      <c r="E34" s="7">
        <v>1</v>
      </c>
      <c r="F34" s="6">
        <v>2024</v>
      </c>
      <c r="G34" s="7">
        <v>10</v>
      </c>
      <c r="H34" s="8">
        <v>23</v>
      </c>
    </row>
    <row r="35" ht="17.6" spans="1:8">
      <c r="A35" s="9">
        <v>28</v>
      </c>
      <c r="B35" s="9" t="s">
        <v>74</v>
      </c>
      <c r="C35" s="9" t="s">
        <v>83</v>
      </c>
      <c r="D35" s="10">
        <v>13</v>
      </c>
      <c r="E35" s="10">
        <v>5</v>
      </c>
      <c r="F35" s="9">
        <v>2023</v>
      </c>
      <c r="G35" s="10">
        <v>1</v>
      </c>
      <c r="H35" s="11">
        <v>26</v>
      </c>
    </row>
    <row r="36" ht="18.35" spans="1:8">
      <c r="A36" s="9">
        <v>24</v>
      </c>
      <c r="B36" s="9" t="s">
        <v>70</v>
      </c>
      <c r="C36" s="9" t="s">
        <v>83</v>
      </c>
      <c r="D36" s="10">
        <v>12</v>
      </c>
      <c r="E36" s="10">
        <v>1</v>
      </c>
      <c r="F36" s="9">
        <v>2023</v>
      </c>
      <c r="G36" s="10">
        <v>2</v>
      </c>
      <c r="H36" s="11">
        <v>21</v>
      </c>
    </row>
    <row r="37" ht="17.6" spans="1:8">
      <c r="A37" s="6">
        <v>25</v>
      </c>
      <c r="B37" s="6" t="s">
        <v>70</v>
      </c>
      <c r="C37" s="6" t="s">
        <v>83</v>
      </c>
      <c r="D37" s="7">
        <v>17</v>
      </c>
      <c r="E37" s="7">
        <v>1</v>
      </c>
      <c r="F37" s="6">
        <v>2023</v>
      </c>
      <c r="G37" s="7">
        <v>11</v>
      </c>
      <c r="H37" s="8">
        <v>2</v>
      </c>
    </row>
    <row r="38" ht="18.35" spans="1:8">
      <c r="A38" s="9">
        <v>26</v>
      </c>
      <c r="B38" s="9" t="s">
        <v>70</v>
      </c>
      <c r="C38" s="9" t="s">
        <v>83</v>
      </c>
      <c r="D38" s="10">
        <v>15</v>
      </c>
      <c r="E38" s="10">
        <v>1</v>
      </c>
      <c r="F38" s="9">
        <v>2023</v>
      </c>
      <c r="G38" s="10">
        <v>11</v>
      </c>
      <c r="H38" s="11">
        <v>16</v>
      </c>
    </row>
    <row r="39" ht="17.6" spans="1:8">
      <c r="A39" s="9">
        <v>27</v>
      </c>
      <c r="B39" s="6" t="s">
        <v>70</v>
      </c>
      <c r="C39" s="6" t="s">
        <v>83</v>
      </c>
      <c r="D39" s="7">
        <v>15</v>
      </c>
      <c r="E39" s="7">
        <v>1</v>
      </c>
      <c r="F39" s="6">
        <v>2024</v>
      </c>
      <c r="G39" s="7">
        <v>10</v>
      </c>
      <c r="H39" s="8">
        <v>23</v>
      </c>
    </row>
    <row r="40" ht="17.6" spans="1:8">
      <c r="A40" s="9">
        <v>28</v>
      </c>
      <c r="B40" s="9" t="s">
        <v>74</v>
      </c>
      <c r="C40" s="9" t="s">
        <v>83</v>
      </c>
      <c r="D40" s="10">
        <v>13</v>
      </c>
      <c r="E40" s="10">
        <v>5</v>
      </c>
      <c r="F40" s="9">
        <v>2023</v>
      </c>
      <c r="G40" s="10">
        <v>1</v>
      </c>
      <c r="H40" s="11">
        <v>26</v>
      </c>
    </row>
  </sheetData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B12"/>
  <sheetViews>
    <sheetView workbookViewId="0">
      <selection activeCell="I7" sqref="I7"/>
    </sheetView>
  </sheetViews>
  <sheetFormatPr defaultColWidth="8.88461538461539" defaultRowHeight="16.8" outlineLevelCol="1"/>
  <sheetData>
    <row r="1" spans="1:2">
      <c r="A1" t="s">
        <v>84</v>
      </c>
    </row>
    <row r="2" spans="1:2">
      <c r="A2">
        <v>1</v>
      </c>
    </row>
    <row r="3" spans="1:2">
      <c r="A3">
        <v>2</v>
      </c>
    </row>
    <row r="4" spans="1:2">
      <c r="A4">
        <v>3</v>
      </c>
      <c r="B4" s="1"/>
    </row>
    <row r="5" spans="1:2">
      <c r="A5" t="s">
        <v>84</v>
      </c>
    </row>
    <row r="6" spans="1:2">
      <c r="A6">
        <v>1</v>
      </c>
    </row>
    <row r="7" spans="1:2">
      <c r="A7">
        <v>2</v>
      </c>
    </row>
    <row r="8" spans="1:2">
      <c r="A8">
        <v>3</v>
      </c>
    </row>
    <row r="9" spans="1:2">
      <c r="A9" t="s">
        <v>84</v>
      </c>
    </row>
    <row r="10" spans="1:2">
      <c r="A10">
        <v>1</v>
      </c>
    </row>
    <row r="11" spans="1:2">
      <c r="A11">
        <v>2</v>
      </c>
    </row>
    <row r="12" spans="1:2">
      <c r="A12">
        <v>3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Sheet1</vt:lpstr>
      <vt:lpstr>Sheet2</vt:lpstr>
      <vt:lpstr>筛选</vt:lpstr>
      <vt:lpstr>去重</vt:lpstr>
      <vt:lpstr>Sheet5</vt:lpstr>
      <vt:lpstr>abcd汇总</vt:lpstr>
      <vt:lpstr>产品国家</vt:lpstr>
      <vt:lpstr>多层透视</vt:lpstr>
      <vt:lpstr>多层透视 (2)</vt:lpstr>
      <vt:lpstr>test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</dc:creator>
  <cp:lastModifiedBy>徐晓冬</cp:lastModifiedBy>
  <dcterms:created xsi:type="dcterms:W3CDTF">2023-12-01T19:38:00Z</dcterms:created>
  <dcterms:modified xsi:type="dcterms:W3CDTF">2026-06-08T22:59:47Z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A7C92B27700A47BDB775BD558CCA2EBD_13</vt:lpwstr>
  </property>
  <property fmtid="{D5CDD505-2E9C-101B-9397-08002B2CF9AE}" pid="3" name="KSOProductBuildVer">
    <vt:lpwstr>2052-12.1.26016.26016</vt:lpwstr>
  </property>
  <property fmtid="{D5CDD505-2E9C-101B-9397-08002B2CF9AE}" pid="4" name="CalculationRule">
    <vt:i4>0</vt:i4>
  </property>
</Properties>
</file>