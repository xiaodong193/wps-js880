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000" windowHeight="12280" activeTab="1"/>
  </bookViews>
  <sheets>
    <sheet name="原合同" sheetId="38" r:id="rId1"/>
    <sheet name="1租金测算表V1" sheetId="37" r:id="rId2"/>
    <sheet name="银行承兑汇票" sheetId="14" r:id="rId3"/>
    <sheet name="银承现金流表" sheetId="18" r:id="rId4"/>
    <sheet name="贷款基础利率" sheetId="7" r:id="rId5"/>
    <sheet name="更新说明" sheetId="8" r:id="rId6"/>
    <sheet name="还款设置" sheetId="2" r:id="rId7"/>
  </sheets>
  <definedNames>
    <definedName name="经纪人项目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<sst xmlns="http://schemas.openxmlformats.org/spreadsheetml/2006/main" count="452" uniqueCount="270">
  <si>
    <t>租赁项目预算租金偿还表</t>
  </si>
  <si>
    <t>价格参数填写区域</t>
  </si>
  <si>
    <t>租赁项目基本信息区域</t>
  </si>
  <si>
    <t>租赁成本</t>
  </si>
  <si>
    <t>实际付款</t>
  </si>
  <si>
    <t>租赁票面利率</t>
  </si>
  <si>
    <t>利率选择</t>
  </si>
  <si>
    <t>浮动利率</t>
  </si>
  <si>
    <t>承租人</t>
  </si>
  <si>
    <t>租赁保证金</t>
  </si>
  <si>
    <t>保证金费率</t>
  </si>
  <si>
    <t>担保人</t>
  </si>
  <si>
    <t>担保方式</t>
  </si>
  <si>
    <t>名义货价</t>
  </si>
  <si>
    <t>租赁方式</t>
  </si>
  <si>
    <t>利率要素填写区域</t>
  </si>
  <si>
    <t>总期数</t>
  </si>
  <si>
    <t>支付间隔</t>
  </si>
  <si>
    <t>LPR基准利率</t>
  </si>
  <si>
    <t>浮动基点(BP)</t>
  </si>
  <si>
    <t>每年还款次数</t>
  </si>
  <si>
    <t>项目时长/年</t>
  </si>
  <si>
    <t>LPR期限选择</t>
  </si>
  <si>
    <t>LPR发布日期</t>
  </si>
  <si>
    <t>2026-02-24</t>
  </si>
  <si>
    <t>偿还方式</t>
  </si>
  <si>
    <t>等额本息（后付）</t>
  </si>
  <si>
    <t>LPR利率描述</t>
  </si>
  <si>
    <t>放款日</t>
  </si>
  <si>
    <t>经纪人费用参数区域</t>
  </si>
  <si>
    <t>经纪人费用支付方式</t>
  </si>
  <si>
    <t>一次性支付-放款时</t>
  </si>
  <si>
    <t>综合利率一览</t>
  </si>
  <si>
    <t>经纪人总费用</t>
  </si>
  <si>
    <t>IRR内含报酬率</t>
  </si>
  <si>
    <t>XIRR净内含报酬率</t>
  </si>
  <si>
    <t>经纪人费用比例</t>
  </si>
  <si>
    <t>(1)企业看IRR</t>
  </si>
  <si>
    <t>（1）企业看XIRR</t>
  </si>
  <si>
    <t>（2）经纪人费用影响</t>
  </si>
  <si>
    <t>起租日（第1期支付日）</t>
  </si>
  <si>
    <t>租前期间隔（月）</t>
  </si>
  <si>
    <t>租前期月数</t>
  </si>
  <si>
    <t>租金测算表</t>
  </si>
  <si>
    <t>期次</t>
  </si>
  <si>
    <t>支付日</t>
  </si>
  <si>
    <t>租金</t>
  </si>
  <si>
    <t>本金</t>
  </si>
  <si>
    <t>利息</t>
  </si>
  <si>
    <t>累积偿还本金额</t>
  </si>
  <si>
    <t>租金本金余额</t>
  </si>
  <si>
    <t>剩余租金余额</t>
  </si>
  <si>
    <t>已还租金</t>
  </si>
  <si>
    <t>支付日/月间隔</t>
  </si>
  <si>
    <t>支付日/月间隔-自定义</t>
  </si>
  <si>
    <t>每期适用利率</t>
  </si>
  <si>
    <t>合计</t>
  </si>
  <si>
    <t>-</t>
  </si>
  <si>
    <t>现金流及综合利率测算</t>
  </si>
  <si>
    <t>日期</t>
  </si>
  <si>
    <t>净现金流1（1+2+3+4+5）</t>
  </si>
  <si>
    <t>净现金流1-备注</t>
  </si>
  <si>
    <t>净现金流2（1+2+3+4）</t>
  </si>
  <si>
    <t>净现金流2-备注</t>
  </si>
  <si>
    <t>（1）电汇放款</t>
  </si>
  <si>
    <t>（2)租金偿付</t>
  </si>
  <si>
    <t>（3）保证金</t>
  </si>
  <si>
    <t>（4）名义货价</t>
  </si>
  <si>
    <t>（5）经纪人费用</t>
  </si>
  <si>
    <t>电汇放款/出租人收取保证金/经纪人费用/</t>
  </si>
  <si>
    <t>电汇放款/承租人支付保证金/</t>
  </si>
  <si>
    <t>第1期租金/</t>
  </si>
  <si>
    <t>第2期租金/</t>
  </si>
  <si>
    <t>第3期租金/</t>
  </si>
  <si>
    <t>第4期租金/</t>
  </si>
  <si>
    <t>第5期租金/</t>
  </si>
  <si>
    <t>第6期租金/</t>
  </si>
  <si>
    <t>第7期租金/</t>
  </si>
  <si>
    <t>第8期租金/</t>
  </si>
  <si>
    <t>第9期租金/</t>
  </si>
  <si>
    <t>第10期租金/出租人退还保证金/出租人收取名义货价/</t>
  </si>
  <si>
    <t>第10期租金/承租人收回保证金/出租人名义货价收取/</t>
  </si>
  <si>
    <t>固定利率</t>
  </si>
  <si>
    <t>等额本金（按天计息）</t>
  </si>
  <si>
    <t>电汇放款/经纪人费用/</t>
  </si>
  <si>
    <t>电汇放款/</t>
  </si>
  <si>
    <t>第10期租金/出租人收取名义货价/</t>
  </si>
  <si>
    <t>第10期租金/出租人名义货价收取/</t>
  </si>
  <si>
    <t>第10期租金/</t>
  </si>
  <si>
    <t>第11期租金/</t>
  </si>
  <si>
    <t>第12期租金/出租人退还保证金/出租人收取名义货价/</t>
  </si>
  <si>
    <t>第12期租金/承租人收回保证金/出租人名义货价收取/</t>
  </si>
  <si>
    <t>电汇比例</t>
  </si>
  <si>
    <t>电汇金额</t>
  </si>
  <si>
    <t>银承比例</t>
  </si>
  <si>
    <t>银承金额</t>
  </si>
  <si>
    <t>银承保证金比例</t>
  </si>
  <si>
    <t>银承保证金金额</t>
  </si>
  <si>
    <t>银承尾款比例</t>
  </si>
  <si>
    <t>银承尾款</t>
  </si>
  <si>
    <t>保证存款利率</t>
  </si>
  <si>
    <t>保证金存款利息</t>
  </si>
  <si>
    <t>利息对付</t>
  </si>
  <si>
    <t>手续费费率</t>
  </si>
  <si>
    <t>银承手续费</t>
  </si>
  <si>
    <t>有银承后内涵</t>
  </si>
  <si>
    <t>投放情况</t>
  </si>
  <si>
    <t>放款日期</t>
  </si>
  <si>
    <t>放款金额-元</t>
  </si>
  <si>
    <t>占总放款金额比例</t>
  </si>
  <si>
    <t>电汇</t>
  </si>
  <si>
    <t>银行承兑汇票期限</t>
  </si>
  <si>
    <t>银行承兑汇票保证金-元</t>
  </si>
  <si>
    <t>保证金存款利率</t>
  </si>
  <si>
    <t>银行承兑汇票手续费</t>
  </si>
  <si>
    <t>我司收取客户保证金</t>
  </si>
  <si>
    <t>经纪人手续费收取（如有）</t>
  </si>
  <si>
    <t>银行承兑汇票</t>
  </si>
  <si>
    <t>租金测算表对比</t>
  </si>
  <si>
    <t>差额（银承-租金）</t>
  </si>
  <si>
    <t>(1)企业看XIRR</t>
  </si>
  <si>
    <t>租金测算表XIRR</t>
  </si>
  <si>
    <t>(2)经纪人费用影响</t>
  </si>
  <si>
    <t>差异</t>
  </si>
  <si>
    <t>净现金流1（1-9）</t>
  </si>
  <si>
    <t>净现金流2（1-8）</t>
  </si>
  <si>
    <t>（2)银行承兑汇票放款-保证金</t>
  </si>
  <si>
    <t>（3）银行承兑汇票放款-尾款</t>
  </si>
  <si>
    <t>（4）银行承兑汇票-手续费</t>
  </si>
  <si>
    <t>（5）银行承兑汇票-利息收入</t>
  </si>
  <si>
    <t>（6）我司收取客户保证金/退回保证金</t>
  </si>
  <si>
    <t>（7）租金</t>
  </si>
  <si>
    <t>（8）名义货价</t>
  </si>
  <si>
    <t>（9）经纪人费用支付</t>
  </si>
  <si>
    <t>银行承兑汇票放款-保证金/银行承兑汇票-手续费</t>
  </si>
  <si>
    <t>银行承兑汇票放款-尾款/银行承兑汇票-利息收入</t>
  </si>
  <si>
    <t>电汇放款/经纪人费用/我司收取客户保证金</t>
  </si>
  <si>
    <t>第1期租金</t>
  </si>
  <si>
    <t>第2期租金</t>
  </si>
  <si>
    <t>第3期租金</t>
  </si>
  <si>
    <t>第4期租金</t>
  </si>
  <si>
    <t>第5期租金</t>
  </si>
  <si>
    <t>第6期租金</t>
  </si>
  <si>
    <t>第7期租金</t>
  </si>
  <si>
    <t>第8期租金</t>
  </si>
  <si>
    <t>第9期租金</t>
  </si>
  <si>
    <t>第10期租金</t>
  </si>
  <si>
    <t>第11期租金</t>
  </si>
  <si>
    <t>第12期租金</t>
  </si>
  <si>
    <t>净现金流</t>
  </si>
  <si>
    <t>备注</t>
  </si>
  <si>
    <t>电汇放款</t>
  </si>
  <si>
    <t>银行承兑汇票放款-保证金</t>
  </si>
  <si>
    <t>银行承兑汇票放款-尾款</t>
  </si>
  <si>
    <t>银行承兑汇票-手续费</t>
  </si>
  <si>
    <t>银行承兑汇票-利息收入</t>
  </si>
  <si>
    <t>我司收取客户附加租金</t>
  </si>
  <si>
    <t>我司收取客户保证</t>
  </si>
  <si>
    <t>0-1\0-2\\</t>
  </si>
  <si>
    <t>0-1电汇放款\0-2银行承兑汇票放款-保证金\保证金收取\附件租金收取</t>
  </si>
  <si>
    <t>0-2</t>
  </si>
  <si>
    <t>0-2银行承兑汇票放款-尾款</t>
  </si>
  <si>
    <t>0-3</t>
  </si>
  <si>
    <t>0-3银行承兑汇票放款-保证金</t>
  </si>
  <si>
    <t>0-3\1</t>
  </si>
  <si>
    <t>0-3银行承兑汇票放款-尾款\第1期租金</t>
  </si>
  <si>
    <t>10\</t>
  </si>
  <si>
    <t>第10期租金\保证金退还</t>
  </si>
  <si>
    <t>\</t>
  </si>
  <si>
    <t>指标名称</t>
  </si>
  <si>
    <t>开始日期</t>
  </si>
  <si>
    <t>结束日期</t>
  </si>
  <si>
    <t>序号</t>
  </si>
  <si>
    <t>贷款市场报价利率(LPR):月</t>
  </si>
  <si>
    <t>1年</t>
  </si>
  <si>
    <t>5年</t>
  </si>
  <si>
    <t>3.00</t>
  </si>
  <si>
    <t>3.50</t>
  </si>
  <si>
    <t>2026-01-20</t>
  </si>
  <si>
    <t>2025-12-22</t>
  </si>
  <si>
    <t>2025-11-20</t>
  </si>
  <si>
    <t>2025-10-20</t>
  </si>
  <si>
    <t>2025-09-22</t>
  </si>
  <si>
    <t>2025-08-20</t>
  </si>
  <si>
    <t>2025-07-21</t>
  </si>
  <si>
    <t>2025-06-20</t>
  </si>
  <si>
    <t>2025-05-20</t>
  </si>
  <si>
    <t>2025-04-21</t>
  </si>
  <si>
    <t>3.10</t>
  </si>
  <si>
    <t>3.60</t>
  </si>
  <si>
    <t>2025-03-20</t>
  </si>
  <si>
    <t>V1.2</t>
  </si>
  <si>
    <t>1.经纪人费用功能更新</t>
  </si>
  <si>
    <t>V1.3</t>
  </si>
  <si>
    <t>1.增加基准利率以及基准利率上浮项，能够根据年限自动判断适用的基准利率</t>
  </si>
  <si>
    <t>2.增加基准利率维护表</t>
  </si>
  <si>
    <t>V2.0</t>
  </si>
  <si>
    <t>1.增加月份间隔列</t>
  </si>
  <si>
    <t>2.增加日期月间隔-自定义</t>
  </si>
  <si>
    <t>3.增加偿还日期-自定义按钮</t>
  </si>
  <si>
    <t>V2.1</t>
  </si>
  <si>
    <t>1.解决经纪人费用选择其他后，计算问题</t>
  </si>
  <si>
    <t>V2.2</t>
  </si>
  <si>
    <t>1.修改利率为LPR利率形式报价</t>
  </si>
  <si>
    <t>2.链接数据到项目方案，生成新的word项目方案（测算表需手动粘贴）</t>
  </si>
  <si>
    <t>3.增加保留方案按钮</t>
  </si>
  <si>
    <t>V2.4</t>
  </si>
  <si>
    <t>1.合并了等额年金法、等额本金法、不等间隔等表为“租金测算表”</t>
  </si>
  <si>
    <t>2.优化了自定义日期选项</t>
  </si>
  <si>
    <t>3.一键生成项目方案功能</t>
  </si>
  <si>
    <t>4.一键生成租赁申请书</t>
  </si>
  <si>
    <t>5.一键生成担保确认函</t>
  </si>
  <si>
    <t>V2.5</t>
  </si>
  <si>
    <t>1.自动更新LPR利率</t>
  </si>
  <si>
    <t>V2.6</t>
  </si>
  <si>
    <t>1.更新本金比例法</t>
  </si>
  <si>
    <t>2.增加更新说明sheet</t>
  </si>
  <si>
    <t>V2.7</t>
  </si>
  <si>
    <t>1.更新一些小bug</t>
  </si>
  <si>
    <t>V3.0</t>
  </si>
  <si>
    <t>2.更新本金比例法</t>
  </si>
  <si>
    <t>V3.1</t>
  </si>
  <si>
    <t>1.增加固定利率及浮动利率选择</t>
  </si>
  <si>
    <t>2.取2位小数与系统同步</t>
  </si>
  <si>
    <t>V3.2</t>
  </si>
  <si>
    <t>1.新增银行承兑汇票计算功能</t>
  </si>
  <si>
    <t>2.修改wind代码</t>
  </si>
  <si>
    <t>V3.31</t>
  </si>
  <si>
    <t>1.优化了代码</t>
  </si>
  <si>
    <t>2.银行承兑汇票现金流量表优化</t>
  </si>
  <si>
    <t>V3.4</t>
  </si>
  <si>
    <t>1.修订了只有2期时候报错的问题</t>
  </si>
  <si>
    <t>V3.43</t>
  </si>
  <si>
    <t>V3.51</t>
  </si>
  <si>
    <t>1、重新编写了所有代码</t>
  </si>
  <si>
    <t>2、（未实现）形成给客户的报价方案</t>
  </si>
  <si>
    <t>3、修正一些bug</t>
  </si>
  <si>
    <t>未实现功能-生成客户看方案版本</t>
  </si>
  <si>
    <t>bug：等额本息（后付）租赁本金总和小数点不对</t>
  </si>
  <si>
    <t>V3.53</t>
  </si>
  <si>
    <t>1、解决合计小数点问题。等额本金法本金最后一期公式改为全部本金-前面所有期次本金和。</t>
  </si>
  <si>
    <t>V3.55</t>
  </si>
  <si>
    <t>1、解决兼容性问题</t>
  </si>
  <si>
    <t>2、租前息项目更新改进（有待落实）</t>
  </si>
  <si>
    <t>V4.00</t>
  </si>
  <si>
    <t>1、vba代码改进、变成数组迭代，保存公式</t>
  </si>
  <si>
    <t>还款方式</t>
  </si>
  <si>
    <t>间隔/月</t>
  </si>
  <si>
    <t>经纪人支付方式</t>
  </si>
  <si>
    <t>占本金比例</t>
  </si>
  <si>
    <t>次数</t>
  </si>
  <si>
    <t>年限描述</t>
  </si>
  <si>
    <t>基准利率</t>
  </si>
  <si>
    <t>LPR年限选择</t>
  </si>
  <si>
    <t>其他支付方式</t>
  </si>
  <si>
    <t>一次性支付-第1期租金</t>
  </si>
  <si>
    <t>6个月以内</t>
  </si>
  <si>
    <t>等额本息（先付）</t>
  </si>
  <si>
    <t>分三次支付（第1\中\末期）</t>
  </si>
  <si>
    <t>6个月到一年</t>
  </si>
  <si>
    <t>无经纪人费用</t>
  </si>
  <si>
    <t>一年至三年</t>
  </si>
  <si>
    <t>等额本金（按期计息）</t>
  </si>
  <si>
    <t>三年至五年</t>
  </si>
  <si>
    <t>暂无-本金比例（半年等本按季付息）</t>
  </si>
  <si>
    <t>不等间隔</t>
  </si>
  <si>
    <t>五年以上</t>
  </si>
  <si>
    <t>本金比例（按期计息）</t>
  </si>
  <si>
    <t>本金比例（按天计息）</t>
  </si>
  <si>
    <t>暂无-手工制作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</si>
</sst>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2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,##0.00_ "/>
    <numFmt numFmtId="177" formatCode="yyyy&quot;年&quot;mm&quot;月&quot;"/>
    <numFmt numFmtId="178" formatCode="0_);[Red]\(0\)"/>
    <numFmt numFmtId="179" formatCode="yyyy\-mm\-dd"/>
    <numFmt numFmtId="180" formatCode="yyyy\-mm\-dd;@"/>
    <numFmt numFmtId="181" formatCode="yyyy&quot;年&quot;m&quot;月&quot;d&quot;日&quot;;@"/>
    <numFmt numFmtId="182" formatCode="#,##0.00_ ;@"/>
    <numFmt numFmtId="183" formatCode="0.0000%"/>
  </numFmts>
  <fonts count="32">
    <font>
      <sz val="11"/>
      <color theme="1"/>
      <name val="等线"/>
      <charset val="134"/>
      <scheme val="minor"/>
    </font>
    <font>
      <sz val="12"/>
      <name val="宋体"/>
      <charset val="134"/>
    </font>
    <font>
      <sz val="12"/>
      <color rgb="FF000000"/>
      <name val="黑体"/>
      <charset val="134"/>
    </font>
    <font>
      <b/>
      <sz val="14"/>
      <color theme="1"/>
      <name val="微软雅黑"/>
      <charset val="134"/>
    </font>
    <font>
      <sz val="10"/>
      <name val="宋体"/>
      <charset val="134"/>
    </font>
    <font>
      <sz val="10"/>
      <color theme="1"/>
      <name val="宋体"/>
      <charset val="134"/>
    </font>
    <font>
      <sz val="16"/>
      <color rgb="FF000000"/>
      <name val="宋体"/>
      <charset val="134"/>
    </font>
    <font>
      <sz val="12"/>
      <color rgb="FF000000"/>
      <name val="宋体"/>
      <charset val="134"/>
    </font>
    <font>
      <b/>
      <sz val="26"/>
      <color theme="1"/>
      <name val="黑体"/>
      <charset val="134"/>
    </font>
    <font>
      <sz val="14"/>
      <color theme="1"/>
      <name val="黑体"/>
      <charset val="134"/>
    </font>
    <font>
      <sz val="12"/>
      <color theme="1"/>
      <name val="黑体"/>
      <charset val="134"/>
    </font>
    <font>
      <sz val="16"/>
      <color rgb="FF000000"/>
      <name val="微软雅黑"/>
      <charset val="134"/>
    </font>
    <font>
      <b/>
      <sz val="11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00AE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8" borderId="6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9" borderId="9" applyNumberFormat="0" applyAlignment="0" applyProtection="0">
      <alignment vertical="center"/>
    </xf>
    <xf numFmtId="0" fontId="22" fillId="10" borderId="10" applyNumberFormat="0" applyAlignment="0" applyProtection="0">
      <alignment vertical="center"/>
    </xf>
    <xf numFmtId="0" fontId="23" fillId="10" borderId="9" applyNumberFormat="0" applyAlignment="0" applyProtection="0">
      <alignment vertical="center"/>
    </xf>
    <xf numFmtId="0" fontId="24" fillId="11" borderId="11" applyNumberFormat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1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1" fillId="0" borderId="0"/>
  </cellStyleXfs>
  <cellXfs count="89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1" fillId="0" borderId="0" xfId="49" applyAlignment="1">
      <alignment horizontal="right" vertical="center"/>
    </xf>
    <xf numFmtId="10" fontId="0" fillId="2" borderId="0" xfId="0" applyNumberFormat="1" applyFill="1">
      <alignment vertical="center"/>
    </xf>
    <xf numFmtId="10" fontId="0" fillId="0" borderId="0" xfId="0" applyNumberFormat="1">
      <alignment vertical="center"/>
    </xf>
    <xf numFmtId="10" fontId="0" fillId="0" borderId="0" xfId="3" applyNumberFormat="1" applyFont="1">
      <alignment vertical="center"/>
    </xf>
    <xf numFmtId="0" fontId="0" fillId="0" borderId="1" xfId="0" applyBorder="1" applyAlignment="1">
      <alignment horizontal="right" vertical="center"/>
    </xf>
    <xf numFmtId="14" fontId="0" fillId="0" borderId="0" xfId="0" applyNumberFormat="1">
      <alignment vertical="center"/>
    </xf>
    <xf numFmtId="14" fontId="0" fillId="0" borderId="1" xfId="0" applyNumberFormat="1" applyBorder="1" applyAlignment="1">
      <alignment horizontal="right" vertical="center"/>
    </xf>
    <xf numFmtId="2" fontId="0" fillId="0" borderId="0" xfId="0" applyNumberFormat="1">
      <alignment vertical="center"/>
    </xf>
    <xf numFmtId="2" fontId="0" fillId="0" borderId="0" xfId="1" applyNumberFormat="1" applyFont="1" applyAlignment="1">
      <alignment horizontal="right" vertical="center"/>
    </xf>
    <xf numFmtId="2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3" fontId="0" fillId="0" borderId="0" xfId="1" applyFo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0" fontId="0" fillId="0" borderId="0" xfId="0" applyAlignment="1">
      <alignment vertical="center" wrapText="1"/>
    </xf>
    <xf numFmtId="43" fontId="0" fillId="0" borderId="0" xfId="0" applyNumberFormat="1">
      <alignment vertical="center"/>
    </xf>
    <xf numFmtId="9" fontId="0" fillId="2" borderId="0" xfId="0" applyNumberFormat="1" applyFill="1">
      <alignment vertical="center"/>
    </xf>
    <xf numFmtId="9" fontId="0" fillId="0" borderId="0" xfId="0" applyNumberFormat="1">
      <alignment vertical="center"/>
    </xf>
    <xf numFmtId="43" fontId="0" fillId="3" borderId="0" xfId="0" applyNumberFormat="1" applyFill="1">
      <alignment vertical="center"/>
    </xf>
    <xf numFmtId="9" fontId="0" fillId="3" borderId="0" xfId="0" applyNumberFormat="1" applyFill="1">
      <alignment vertical="center"/>
    </xf>
    <xf numFmtId="178" fontId="0" fillId="2" borderId="0" xfId="0" applyNumberFormat="1" applyFill="1">
      <alignment vertical="center"/>
    </xf>
    <xf numFmtId="176" fontId="0" fillId="0" borderId="1" xfId="0" applyNumberFormat="1" applyBorder="1" applyAlignment="1">
      <alignment vertical="center" wrapText="1"/>
    </xf>
    <xf numFmtId="179" fontId="2" fillId="2" borderId="0" xfId="0" applyNumberFormat="1" applyFont="1" applyFill="1" applyAlignment="1">
      <alignment horizontal="right" vertical="center"/>
    </xf>
    <xf numFmtId="176" fontId="0" fillId="2" borderId="1" xfId="0" applyNumberFormat="1" applyFill="1" applyBorder="1">
      <alignment vertical="center"/>
    </xf>
    <xf numFmtId="9" fontId="0" fillId="2" borderId="1" xfId="3" applyFont="1" applyFill="1" applyBorder="1">
      <alignment vertical="center"/>
    </xf>
    <xf numFmtId="10" fontId="0" fillId="2" borderId="1" xfId="3" applyNumberFormat="1" applyFont="1" applyFill="1" applyBorder="1">
      <alignment vertical="center"/>
    </xf>
    <xf numFmtId="0" fontId="0" fillId="2" borderId="1" xfId="0" applyFill="1" applyBorder="1">
      <alignment vertical="center"/>
    </xf>
    <xf numFmtId="180" fontId="0" fillId="2" borderId="1" xfId="0" applyNumberFormat="1" applyFill="1" applyBorder="1">
      <alignment vertical="center"/>
    </xf>
    <xf numFmtId="181" fontId="0" fillId="0" borderId="0" xfId="0" applyNumberFormat="1">
      <alignment vertical="center"/>
    </xf>
    <xf numFmtId="0" fontId="3" fillId="0" borderId="0" xfId="0" applyFont="1" applyAlignment="1">
      <alignment horizontal="left" vertical="center"/>
    </xf>
    <xf numFmtId="176" fontId="4" fillId="0" borderId="0" xfId="49" applyNumberFormat="1" applyFont="1" applyAlignment="1">
      <alignment vertical="center"/>
    </xf>
    <xf numFmtId="10" fontId="5" fillId="3" borderId="0" xfId="3" applyNumberFormat="1" applyFont="1" applyFill="1" applyAlignment="1">
      <alignment vertical="center"/>
    </xf>
    <xf numFmtId="10" fontId="4" fillId="0" borderId="0" xfId="49" applyNumberFormat="1" applyFont="1" applyAlignment="1">
      <alignment vertical="center"/>
    </xf>
    <xf numFmtId="10" fontId="4" fillId="3" borderId="0" xfId="49" applyNumberFormat="1" applyFont="1" applyFill="1" applyAlignment="1">
      <alignment vertical="center"/>
    </xf>
    <xf numFmtId="10" fontId="5" fillId="0" borderId="0" xfId="0" applyNumberFormat="1" applyFont="1">
      <alignment vertical="center"/>
    </xf>
    <xf numFmtId="0" fontId="5" fillId="0" borderId="0" xfId="0" applyFont="1">
      <alignment vertical="center"/>
    </xf>
    <xf numFmtId="10" fontId="5" fillId="3" borderId="0" xfId="49" applyNumberFormat="1" applyFont="1" applyFill="1" applyAlignment="1">
      <alignment vertical="center"/>
    </xf>
    <xf numFmtId="182" fontId="0" fillId="0" borderId="0" xfId="0" applyNumberFormat="1">
      <alignment vertical="center"/>
    </xf>
    <xf numFmtId="0" fontId="6" fillId="4" borderId="0" xfId="0" applyFont="1" applyFill="1">
      <alignment vertical="center"/>
    </xf>
    <xf numFmtId="0" fontId="7" fillId="5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79" fontId="0" fillId="0" borderId="2" xfId="0" applyNumberFormat="1" applyBorder="1" applyAlignment="1">
      <alignment horizontal="center" vertical="center" wrapText="1"/>
    </xf>
    <xf numFmtId="4" fontId="0" fillId="0" borderId="2" xfId="0" applyNumberFormat="1" applyBorder="1" applyAlignment="1">
      <alignment horizontal="center" vertical="center" wrapText="1"/>
    </xf>
    <xf numFmtId="1" fontId="0" fillId="0" borderId="0" xfId="0" applyNumberFormat="1">
      <alignment vertical="center"/>
    </xf>
    <xf numFmtId="179" fontId="0" fillId="0" borderId="0" xfId="0" applyNumberFormat="1">
      <alignment vertical="center"/>
    </xf>
    <xf numFmtId="4" fontId="0" fillId="0" borderId="0" xfId="0" applyNumberFormat="1">
      <alignment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4" borderId="0" xfId="0" applyFont="1" applyFill="1" applyAlignment="1">
      <alignment horizontal="left" vertical="center"/>
    </xf>
    <xf numFmtId="4" fontId="10" fillId="2" borderId="0" xfId="0" applyNumberFormat="1" applyFont="1" applyFill="1" applyAlignment="1">
      <alignment horizontal="right" vertical="center"/>
    </xf>
    <xf numFmtId="4" fontId="10" fillId="3" borderId="0" xfId="0" applyNumberFormat="1" applyFont="1" applyFill="1" applyAlignment="1">
      <alignment horizontal="right" vertical="center"/>
    </xf>
    <xf numFmtId="183" fontId="10" fillId="2" borderId="0" xfId="0" applyNumberFormat="1" applyFont="1" applyFill="1" applyAlignment="1">
      <alignment horizontal="right" vertical="center"/>
    </xf>
    <xf numFmtId="0" fontId="10" fillId="2" borderId="0" xfId="0" applyNumberFormat="1" applyFont="1" applyFill="1" applyAlignment="1">
      <alignment horizontal="left" vertical="center"/>
    </xf>
    <xf numFmtId="0" fontId="10" fillId="2" borderId="0" xfId="0" applyNumberFormat="1" applyFont="1" applyFill="1" applyAlignment="1">
      <alignment horizontal="right" vertical="center"/>
    </xf>
    <xf numFmtId="10" fontId="10" fillId="2" borderId="0" xfId="0" applyNumberFormat="1" applyFont="1" applyFill="1" applyAlignment="1">
      <alignment horizontal="right" vertical="center"/>
    </xf>
    <xf numFmtId="1" fontId="10" fillId="2" borderId="0" xfId="0" applyNumberFormat="1" applyFont="1" applyFill="1" applyAlignment="1">
      <alignment horizontal="right" vertical="center"/>
    </xf>
    <xf numFmtId="1" fontId="10" fillId="2" borderId="0" xfId="0" applyNumberFormat="1" applyFont="1" applyFill="1" applyAlignment="1">
      <alignment horizontal="left" vertical="center"/>
    </xf>
    <xf numFmtId="10" fontId="10" fillId="3" borderId="0" xfId="0" applyNumberFormat="1" applyFont="1" applyFill="1" applyAlignment="1">
      <alignment horizontal="right" vertical="center"/>
    </xf>
    <xf numFmtId="2" fontId="10" fillId="3" borderId="0" xfId="0" applyNumberFormat="1" applyFont="1" applyFill="1" applyAlignment="1">
      <alignment horizontal="right" vertical="center"/>
    </xf>
    <xf numFmtId="1" fontId="10" fillId="3" borderId="0" xfId="0" applyNumberFormat="1" applyFont="1" applyFill="1" applyAlignment="1">
      <alignment horizontal="right" vertical="center"/>
    </xf>
    <xf numFmtId="179" fontId="10" fillId="2" borderId="0" xfId="0" applyNumberFormat="1" applyFont="1" applyFill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179" fontId="10" fillId="2" borderId="0" xfId="0" applyNumberFormat="1" applyFont="1" applyFill="1" applyAlignment="1">
      <alignment horizontal="right" vertical="center"/>
    </xf>
    <xf numFmtId="0" fontId="7" fillId="0" borderId="0" xfId="0" applyFont="1">
      <alignment vertical="center"/>
    </xf>
    <xf numFmtId="10" fontId="7" fillId="3" borderId="0" xfId="0" applyNumberFormat="1" applyFont="1" applyFill="1">
      <alignment vertical="center"/>
    </xf>
    <xf numFmtId="10" fontId="7" fillId="6" borderId="0" xfId="0" applyNumberFormat="1" applyFont="1" applyFill="1">
      <alignment vertical="center"/>
    </xf>
    <xf numFmtId="179" fontId="10" fillId="3" borderId="0" xfId="0" applyNumberFormat="1" applyFont="1" applyFill="1" applyAlignment="1">
      <alignment horizontal="right" vertical="center"/>
    </xf>
    <xf numFmtId="0" fontId="11" fillId="4" borderId="0" xfId="0" applyFont="1" applyFill="1" applyAlignment="1">
      <alignment horizontal="center" vertical="center"/>
    </xf>
    <xf numFmtId="0" fontId="7" fillId="7" borderId="3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1" fontId="0" fillId="0" borderId="2" xfId="0" applyNumberFormat="1" applyBorder="1" applyAlignment="1">
      <alignment horizontal="center" vertical="center" wrapText="1"/>
    </xf>
    <xf numFmtId="10" fontId="0" fillId="0" borderId="5" xfId="0" applyNumberFormat="1" applyBorder="1" applyAlignment="1">
      <alignment horizontal="center" vertical="center" wrapText="1"/>
    </xf>
    <xf numFmtId="10" fontId="0" fillId="0" borderId="2" xfId="0" applyNumberFormat="1" applyBorder="1" applyAlignment="1">
      <alignment horizontal="center" vertical="center" wrapText="1"/>
    </xf>
    <xf numFmtId="4" fontId="12" fillId="0" borderId="2" xfId="0" applyNumberFormat="1" applyFont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7" fillId="7" borderId="2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179" fontId="7" fillId="7" borderId="2" xfId="0" applyNumberFormat="1" applyFont="1" applyFill="1" applyBorder="1" applyAlignment="1">
      <alignment horizontal="center" vertical="center" wrapText="1"/>
    </xf>
    <xf numFmtId="4" fontId="7" fillId="7" borderId="2" xfId="0" applyNumberFormat="1" applyFont="1" applyFill="1" applyBorder="1" applyAlignment="1">
      <alignment horizontal="center" vertical="center" wrapText="1"/>
    </xf>
    <xf numFmtId="4" fontId="12" fillId="0" borderId="0" xfId="0" applyNumberFormat="1" applyFont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179" fontId="2" fillId="3" borderId="0" xfId="0" applyNumberFormat="1" applyFont="1" applyFill="1" applyAlignment="1">
      <alignment horizontal="right" vertical="center"/>
    </xf>
    <xf numFmtId="1" fontId="2" fillId="2" borderId="0" xfId="0" applyNumberFormat="1" applyFont="1" applyFill="1" applyAlignment="1">
      <alignment horizontal="left" vertical="center"/>
    </xf>
    <xf numFmtId="1" fontId="2" fillId="3" borderId="0" xfId="0" applyNumberFormat="1" applyFont="1" applyFill="1" applyAlignment="1">
      <alignment horizontal="right" vertical="center"/>
    </xf>
    <xf numFmtId="1" fontId="0" fillId="2" borderId="2" xfId="0" applyNumberFormat="1" applyFill="1" applyBorder="1" applyAlignment="1">
      <alignment horizontal="center" vertical="center" wrapText="1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_!租金偿还预算表－解放军第四五七医院（3、4、5年）" xfId="49"/>
  </cellStyles>
  <dxfs count="24">
    <dxf>
      <fill>
        <gradientFill degree="90">
          <stop position="0">
            <color theme="8" tint="0.899838251899777"/>
          </stop>
          <stop position="1">
            <color rgb="FFFFF1EB"/>
          </stop>
        </gradientFill>
      </fill>
    </dxf>
    <dxf>
      <fill>
        <gradientFill>
          <stop position="0">
            <color theme="8" tint="0.899838251899777"/>
          </stop>
          <stop position="1">
            <color rgb="FFFFF1EB"/>
          </stop>
        </gradientFill>
      </fill>
    </dxf>
    <dxf>
      <font>
        <b val="1"/>
        <i val="0"/>
        <u val="none"/>
        <sz val="10"/>
        <color theme="1"/>
      </font>
      <fill>
        <gradientFill degree="90">
          <stop position="0">
            <color theme="8" tint="0.899838251899777"/>
          </stop>
          <stop position="1">
            <color rgb="FFFFF1EB"/>
          </stop>
        </gradientFill>
      </fill>
      <border>
        <left/>
        <right/>
        <top/>
        <bottom/>
        <vertical/>
        <horizontal/>
      </border>
    </dxf>
    <dxf>
      <font>
        <b val="0"/>
        <i val="0"/>
        <u val="none"/>
        <sz val="10"/>
        <color theme="1"/>
      </font>
      <fill>
        <gradientFill degree="90">
          <stop position="0">
            <color theme="8" tint="0.899838251899777"/>
          </stop>
          <stop position="1">
            <color rgb="FFFFF1EB"/>
          </stop>
        </gradientFill>
      </fill>
    </dxf>
    <dxf>
      <font>
        <b val="1"/>
        <i val="0"/>
        <u val="none"/>
        <sz val="10"/>
        <color rgb="FFFFFFFF"/>
      </font>
      <fill>
        <gradientFill>
          <stop position="0">
            <color theme="8"/>
          </stop>
          <stop position="1">
            <color rgb="FFFF7F50"/>
          </stop>
        </gradientFill>
      </fill>
      <border>
        <left/>
        <right/>
        <top/>
        <bottom/>
        <vertical/>
        <horizontal/>
      </border>
    </dxf>
    <dxf>
      <font>
        <b val="1"/>
        <i val="0"/>
        <u val="none"/>
        <sz val="10"/>
        <color rgb="FFFFFFFF"/>
      </font>
      <fill>
        <gradientFill>
          <stop position="0">
            <color theme="8"/>
          </stop>
          <stop position="1">
            <color rgb="FFFF7F50"/>
          </stop>
        </gradientFill>
      </fill>
    </dxf>
    <dxf>
      <font>
        <b val="0"/>
        <i val="0"/>
        <u val="none"/>
        <sz val="11"/>
        <color rgb="FF000000"/>
      </font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  <border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1"/>
        <i val="0"/>
        <u val="none"/>
        <sz val="11"/>
        <color theme="4"/>
      </font>
      <fill>
        <patternFill patternType="solid">
          <bgColor rgb="FFFFFFFF"/>
        </patternFill>
      </fill>
      <border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 tint="0.599993896298105"/>
        </left>
        <right style="thin">
          <color theme="4" tint="0.599993896298105"/>
        </right>
        <top style="thin">
          <color theme="4"/>
        </top>
        <bottom style="thin">
          <color theme="4"/>
        </bottom>
        <vertical/>
        <horizontal style="thin">
          <color theme="4" tint="0.599993896298105"/>
        </horizontal>
      </border>
    </dxf>
    <dxf>
      <fill>
        <patternFill patternType="solid">
          <bgColor theme="4" tint="0.899868770409253"/>
        </patternFill>
      </fill>
    </dxf>
    <dxf>
      <fill>
        <patternFill patternType="solid">
          <bgColor theme="4" tint="0.899868770409253"/>
        </patternFill>
      </fill>
    </dxf>
    <dxf>
      <font>
        <b val="1"/>
        <i val="0"/>
        <u val="none"/>
        <sz val="11"/>
        <color rgb="FF08090C"/>
      </font>
      <fill>
        <patternFill patternType="solid">
          <bgColor theme="4" tint="0.79985961485641"/>
        </patternFill>
      </fill>
      <border>
        <left style="thin">
          <color theme="4" tint="0.599993896298105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 style="thin">
          <color theme="4" tint="0.599993896298105"/>
        </horizontal>
      </border>
    </dxf>
    <dxf>
      <font>
        <b val="1"/>
        <i val="0"/>
        <u val="none"/>
        <sz val="11"/>
        <color rgb="FF08090C"/>
      </font>
      <fill>
        <patternFill patternType="solid">
          <bgColor theme="4" tint="0.79985961485641"/>
        </patternFill>
      </fill>
      <border>
        <left style="thin">
          <color theme="4"/>
        </left>
        <right style="thin">
          <color theme="4" tint="0.599993896298105"/>
        </right>
        <top style="thin">
          <color theme="4"/>
        </top>
        <bottom style="thin">
          <color theme="4"/>
        </bottom>
        <vertical/>
        <horizontal style="thin">
          <color theme="4" tint="0.599993896298105"/>
        </horizontal>
      </border>
    </dxf>
    <dxf>
      <font>
        <b val="1"/>
        <i val="0"/>
        <u val="none"/>
        <sz val="11"/>
        <color theme="4"/>
      </font>
      <fill>
        <patternFill patternType="solid">
          <bgColor rgb="FFFFFFFF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1"/>
        <i val="0"/>
        <u val="none"/>
        <sz val="11"/>
        <color rgb="FFFFFFFF"/>
      </font>
      <fill>
        <patternFill patternType="solid">
          <bgColor theme="4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 tint="0.599993896298105"/>
        </vertical>
        <horizontal/>
      </border>
    </dxf>
    <dxf>
      <font>
        <b val="0"/>
        <i val="0"/>
        <u val="none"/>
        <sz val="11"/>
        <color rgb="FF000000"/>
      </font>
      <fill>
        <patternFill patternType="solid">
          <bgColor rgb="FFFFFFFF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 tint="0.599993896298105"/>
        </vertical>
        <horizontal style="thin">
          <color theme="4" tint="0.599993896298105"/>
        </horizontal>
      </border>
    </dxf>
    <dxf>
      <fill>
        <patternFill patternType="solid">
          <bgColor theme="4" tint="0.899868770409253"/>
        </patternFill>
      </fill>
      <border>
        <left/>
        <right/>
        <top/>
        <bottom/>
        <vertical/>
        <horizontal/>
      </border>
    </dxf>
    <dxf>
      <fill>
        <patternFill patternType="solid">
          <bgColor theme="4" tint="0.899868770409253"/>
        </patternFill>
      </fill>
    </dxf>
    <dxf>
      <font>
        <b val="1"/>
        <i val="0"/>
        <u val="none"/>
        <sz val="11"/>
        <color rgb="FF08090C"/>
      </font>
      <fill>
        <patternFill patternType="solid">
          <bgColor theme="4" tint="0.79985961485641"/>
        </patternFill>
      </fill>
      <border>
        <left/>
        <right/>
        <top/>
        <bottom/>
        <vertical/>
        <horizontal/>
      </border>
    </dxf>
    <dxf>
      <font>
        <b val="1"/>
        <i val="0"/>
        <u val="none"/>
        <sz val="11"/>
        <color rgb="FF08090C"/>
      </font>
      <fill>
        <patternFill patternType="solid">
          <bgColor theme="4" tint="0.79985961485641"/>
        </patternFill>
      </fill>
      <border>
        <left/>
        <right/>
        <top/>
        <bottom/>
        <vertical/>
        <horizontal/>
      </border>
    </dxf>
    <dxf>
      <font>
        <b val="1"/>
        <i val="0"/>
        <u val="none"/>
        <sz val="11"/>
        <color rgb="FFFFFFFF"/>
      </font>
      <fill>
        <patternFill patternType="solid">
          <bgColor theme="4"/>
        </patternFill>
      </fill>
      <border>
        <left/>
        <right/>
        <top style="thin">
          <color theme="4"/>
        </top>
        <bottom style="thin">
          <color theme="4"/>
        </bottom>
        <vertical/>
        <horizontal/>
      </border>
    </dxf>
    <dxf>
      <font>
        <b val="1"/>
        <i val="0"/>
        <u val="none"/>
        <sz val="11"/>
        <color rgb="FFFFFFFF"/>
      </font>
      <fill>
        <patternFill patternType="solid">
          <bgColor theme="4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  <sz val="11"/>
        <color rgb="FF000000"/>
      </font>
      <fill>
        <patternFill patternType="solid">
          <bgColor rgb="FFFFFFFF"/>
        </patternFill>
      </fill>
      <border>
        <left/>
        <right/>
        <top style="thin">
          <color theme="4"/>
        </top>
        <bottom style="thin">
          <color theme="4"/>
        </bottom>
        <vertical/>
        <horizontal/>
      </border>
    </dxf>
  </dxfs>
  <tableStyles count="3" defaultTableStyle="TableStyleMedium2" defaultPivotStyle="PivotStyleLight16">
    <tableStyle name="渐变蓝色橙色系标题行首列镶边行表格样式_d69255" count="7" xr9:uid="{3B698D94-6292-67E9-6706-FA6985A9443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secondRowStripe" dxfId="1"/>
      <tableStyleElement type="firstColumnStripe" dxfId="0"/>
    </tableStyle>
    <tableStyle name="中色系标题行镶边行表格样式_676304" count="10" xr9:uid="{1B30440D-7271-A0D5-6706-FA690F069C25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secondRowStripe" dxfId="11"/>
      <tableStyleElement type="firstColumnStripe" dxfId="10"/>
      <tableStyleElement type="secondColumnStripe" dxfId="9"/>
      <tableStyleElement type="firstTotalCell" dxfId="8"/>
      <tableStyleElement type="lastTotalCell" dxfId="7"/>
    </tableStyle>
    <tableStyle name="中色系标题行镶边行表格样式_6e22f3" count="7" xr9:uid="{7CA2FE22-85F3-B289-6706-FA696B4B17A2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secondRowStripe" dxfId="18"/>
      <tableStyleElement type="firstColumnStripe" dxfId="17"/>
    </tableStyle>
  </tableStyles>
  <colors>
    <mruColors>
      <color rgb="00FF0000"/>
      <color rgb="0000AEF0"/>
      <color rgb="00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www.wps.cn/officeDocument/2018/jdeExtension" Target="JDEData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1303867</xdr:colOff>
          <xdr:row>1</xdr:row>
          <xdr:rowOff>0</xdr:rowOff>
        </xdr:from>
        <xdr:to>
          <xdr:col>0</xdr:col>
          <xdr:colOff>1333712</xdr:colOff>
          <xdr:row>1</xdr:row>
          <xdr:rowOff>8255</xdr:rowOff>
        </xdr:to>
        <xdr:sp>
          <xdr:nvSpPr>
            <xdr:cNvPr id="61441" name="CommandButton2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>
            <a:xfrm>
              <a:off x="1303655" y="472440"/>
              <a:ext cx="29845" cy="825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1303867</xdr:colOff>
          <xdr:row>1</xdr:row>
          <xdr:rowOff>0</xdr:rowOff>
        </xdr:from>
        <xdr:to>
          <xdr:col>0</xdr:col>
          <xdr:colOff>1333712</xdr:colOff>
          <xdr:row>1</xdr:row>
          <xdr:rowOff>8255</xdr:rowOff>
        </xdr:to>
        <xdr:sp>
          <xdr:nvSpPr>
            <xdr:cNvPr id="59393" name="CommandButton2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>
            <a:xfrm>
              <a:off x="1303655" y="472440"/>
              <a:ext cx="29845" cy="825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0</xdr:row>
          <xdr:rowOff>8467</xdr:rowOff>
        </xdr:from>
        <xdr:to>
          <xdr:col>5</xdr:col>
          <xdr:colOff>647700</xdr:colOff>
          <xdr:row>2</xdr:row>
          <xdr:rowOff>38100</xdr:rowOff>
        </xdr:to>
        <xdr:sp macro="[0]!刷新LPR利率1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4811395" y="8255"/>
              <a:ext cx="1242060" cy="456565"/>
            </a:xfrm>
            <a:prstGeom prst="rect">
              <a:avLst/>
            </a:prstGeom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刷新LPR利率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84667</xdr:rowOff>
        </xdr:from>
        <xdr:to>
          <xdr:col>8</xdr:col>
          <xdr:colOff>76200</xdr:colOff>
          <xdr:row>6</xdr:row>
          <xdr:rowOff>97367</xdr:rowOff>
        </xdr:to>
        <xdr:sp macro="[0]!刷新LPR利率1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6091555" y="724535"/>
              <a:ext cx="2225675" cy="652780"/>
            </a:xfrm>
            <a:prstGeom prst="rect">
              <a:avLst/>
            </a:prstGeom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万得更新LPR利率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JR568"/>
  <sheetViews>
    <sheetView zoomScale="80" zoomScaleNormal="80" topLeftCell="A17" workbookViewId="0">
      <selection activeCell="D32" sqref="D32"/>
    </sheetView>
  </sheetViews>
  <sheetFormatPr defaultColWidth="9" defaultRowHeight="16.8"/>
  <cols>
    <col min="1" max="1" width="20.9017857142857" style="47" customWidth="1"/>
    <col min="2" max="2" width="17.5267857142857" style="48" customWidth="1"/>
    <col min="3" max="3" width="16.9642857142857" style="49" customWidth="1"/>
    <col min="4" max="4" width="17.25" style="49" customWidth="1"/>
    <col min="5" max="5" width="20.0803571428571" style="49" customWidth="1"/>
    <col min="6" max="6" width="15.625" style="49" customWidth="1"/>
    <col min="7" max="7" width="24.9285714285714" style="49" customWidth="1"/>
    <col min="8" max="9" width="15.625" style="49" customWidth="1"/>
    <col min="10" max="13" width="15.625" customWidth="1"/>
    <col min="14" max="14" width="14.3482142857143" customWidth="1"/>
    <col min="15" max="15" width="10.2321428571429" customWidth="1"/>
    <col min="16" max="16" width="14" customWidth="1"/>
  </cols>
  <sheetData>
    <row r="1" ht="37.2" spans="1:9">
      <c r="A1" s="50" t="s">
        <v>0</v>
      </c>
      <c r="B1"/>
      <c r="C1"/>
      <c r="D1"/>
      <c r="E1"/>
      <c r="F1"/>
      <c r="G1"/>
      <c r="H1"/>
      <c r="I1"/>
    </row>
    <row r="2" ht="20" customHeight="1" spans="1:9">
      <c r="A2"/>
      <c r="B2"/>
      <c r="C2"/>
      <c r="D2"/>
      <c r="E2"/>
      <c r="F2"/>
      <c r="G2"/>
      <c r="H2"/>
      <c r="I2"/>
    </row>
    <row r="3" ht="20.4" spans="1:9">
      <c r="A3" s="51" t="s">
        <v>1</v>
      </c>
      <c r="B3"/>
      <c r="C3"/>
      <c r="D3"/>
      <c r="E3"/>
      <c r="F3" s="51" t="s">
        <v>2</v>
      </c>
      <c r="G3"/>
      <c r="H3"/>
      <c r="I3"/>
    </row>
    <row r="4" ht="17.6" spans="1:9">
      <c r="A4" s="52" t="s">
        <v>3</v>
      </c>
      <c r="B4" s="53">
        <v>500000000</v>
      </c>
      <c r="C4" s="52" t="s">
        <v>4</v>
      </c>
      <c r="D4" s="54">
        <f>B4-B6</f>
        <v>500000000</v>
      </c>
      <c r="E4"/>
      <c r="F4"/>
      <c r="G4"/>
      <c r="H4"/>
      <c r="I4"/>
    </row>
    <row r="5" ht="17.6" spans="1:9">
      <c r="A5" s="52" t="s">
        <v>5</v>
      </c>
      <c r="B5" s="55">
        <v>0.035</v>
      </c>
      <c r="C5" s="52" t="s">
        <v>6</v>
      </c>
      <c r="D5" s="56" t="s">
        <v>7</v>
      </c>
      <c r="E5"/>
      <c r="F5" s="52" t="s">
        <v>8</v>
      </c>
      <c r="G5" s="57"/>
      <c r="H5"/>
      <c r="I5"/>
    </row>
    <row r="6" ht="17.6" spans="1:9">
      <c r="A6" s="52" t="s">
        <v>9</v>
      </c>
      <c r="B6" s="54">
        <v>0</v>
      </c>
      <c r="C6" s="52" t="s">
        <v>10</v>
      </c>
      <c r="D6" s="58">
        <v>0.01</v>
      </c>
      <c r="E6"/>
      <c r="F6" s="52" t="s">
        <v>11</v>
      </c>
      <c r="G6" s="57"/>
      <c r="H6"/>
      <c r="I6"/>
    </row>
    <row r="7" ht="17.6" spans="1:9">
      <c r="A7"/>
      <c r="B7"/>
      <c r="C7"/>
      <c r="D7"/>
      <c r="E7"/>
      <c r="F7" s="52" t="s">
        <v>12</v>
      </c>
      <c r="G7" s="57"/>
      <c r="H7"/>
      <c r="I7"/>
    </row>
    <row r="8" ht="17.6" spans="1:9">
      <c r="A8" s="52" t="s">
        <v>13</v>
      </c>
      <c r="B8" s="53">
        <v>1</v>
      </c>
      <c r="C8"/>
      <c r="D8"/>
      <c r="E8"/>
      <c r="F8" s="52" t="s">
        <v>14</v>
      </c>
      <c r="G8" s="57"/>
      <c r="H8"/>
      <c r="I8"/>
    </row>
    <row r="9" ht="21" customHeight="1" spans="1:9">
      <c r="A9"/>
      <c r="B9"/>
      <c r="C9"/>
      <c r="D9"/>
      <c r="E9"/>
      <c r="F9" s="51" t="s">
        <v>15</v>
      </c>
      <c r="G9"/>
      <c r="H9"/>
      <c r="I9"/>
    </row>
    <row r="10" ht="17.6" spans="1:9">
      <c r="A10" s="52" t="s">
        <v>16</v>
      </c>
      <c r="B10" s="59">
        <v>10</v>
      </c>
      <c r="C10" s="52" t="s">
        <v>17</v>
      </c>
      <c r="D10" s="60">
        <v>6</v>
      </c>
      <c r="E10"/>
      <c r="F10" s="52" t="s">
        <v>18</v>
      </c>
      <c r="G10" s="61">
        <f>_xlfn.IFS(G11=5,VLOOKUP(I11,贷款基础利率!$B$2:$D$14,3,FALSE)/100,G11=1,VLOOKUP(I11,贷款基础利率!$B$2:$D$14,2,FALSE)/100)</f>
        <v>0.035</v>
      </c>
      <c r="H10" s="52" t="s">
        <v>19</v>
      </c>
      <c r="I10" s="62">
        <f>(B5-G10)*10000</f>
        <v>0</v>
      </c>
    </row>
    <row r="11" ht="17.6" spans="1:9">
      <c r="A11" s="52" t="s">
        <v>20</v>
      </c>
      <c r="B11" s="63">
        <f>12/D10</f>
        <v>2</v>
      </c>
      <c r="C11" s="52" t="s">
        <v>21</v>
      </c>
      <c r="D11" s="63">
        <f>D10*B10/12</f>
        <v>5</v>
      </c>
      <c r="E11"/>
      <c r="F11" s="52" t="s">
        <v>22</v>
      </c>
      <c r="G11" s="60">
        <v>5</v>
      </c>
      <c r="H11" s="52" t="s">
        <v>23</v>
      </c>
      <c r="I11" s="64" t="s">
        <v>24</v>
      </c>
    </row>
    <row r="12" ht="17.1" customHeight="1" spans="1:9">
      <c r="A12" s="52" t="s">
        <v>25</v>
      </c>
      <c r="B12" s="56" t="s">
        <v>26</v>
      </c>
      <c r="C12"/>
      <c r="D12"/>
      <c r="E12"/>
      <c r="F12" s="52" t="s">
        <v>27</v>
      </c>
      <c r="G12" s="65" t="str">
        <f>"即 "&amp;TEXT(I11,"yyyy年mm月dd日")&amp;"全国银行间同业拆借中心公布的 "&amp;G11&amp;" 年期人民币贷款基础利率（LPR）"&amp;G10*100&amp;"%，加"&amp;ROUND(I10,2)&amp;"BPS（1BP=0.01%）"</f>
        <v>即 2026年02月24日全国银行间同业拆借中心公布的 5 年期人民币贷款基础利率（LPR）3.5%，加0BPS（1BP=0.01%）</v>
      </c>
      <c r="H12"/>
      <c r="I12"/>
    </row>
    <row r="13" ht="20.4" spans="1:9">
      <c r="A13" s="52" t="s">
        <v>28</v>
      </c>
      <c r="B13" s="66">
        <v>46096</v>
      </c>
      <c r="C13"/>
      <c r="D13"/>
      <c r="E13"/>
      <c r="F13" s="51" t="s">
        <v>29</v>
      </c>
      <c r="G13"/>
      <c r="H13"/>
      <c r="I13"/>
    </row>
    <row r="14" ht="17.6" spans="1:9">
      <c r="A14"/>
      <c r="B14"/>
      <c r="C14"/>
      <c r="D14"/>
      <c r="E14"/>
      <c r="F14" s="52" t="s">
        <v>30</v>
      </c>
      <c r="G14" s="56" t="s">
        <v>31</v>
      </c>
      <c r="H14"/>
      <c r="I14"/>
    </row>
    <row r="15" ht="23.2" spans="1:9">
      <c r="A15" s="42" t="s">
        <v>32</v>
      </c>
      <c r="B15"/>
      <c r="C15"/>
      <c r="D15"/>
      <c r="E15"/>
      <c r="F15" s="52" t="s">
        <v>33</v>
      </c>
      <c r="G15" s="54">
        <f>B4*G16</f>
        <v>500000</v>
      </c>
      <c r="H15"/>
      <c r="I15"/>
    </row>
    <row r="16" ht="17.6" spans="1:9">
      <c r="A16" s="67" t="s">
        <v>34</v>
      </c>
      <c r="B16" s="68">
        <f>IRR(C44:C54)*B11</f>
        <v>0.0346203997115713</v>
      </c>
      <c r="C16" s="67" t="s">
        <v>35</v>
      </c>
      <c r="D16" s="68">
        <f>XIRR(C44:C54,B44:B54)</f>
        <v>0.0348678793260384</v>
      </c>
      <c r="E16"/>
      <c r="F16" s="52" t="s">
        <v>36</v>
      </c>
      <c r="G16" s="58">
        <v>0.001</v>
      </c>
      <c r="H16"/>
      <c r="I16"/>
    </row>
    <row r="17" ht="17.6" spans="1:1024 1025:5010">
      <c r="A17" s="67" t="s">
        <v>37</v>
      </c>
      <c r="B17" s="68">
        <f>IRR(E44:E54)*B11</f>
        <v>0.0350000006475555</v>
      </c>
      <c r="C17" s="67" t="s">
        <v>38</v>
      </c>
      <c r="D17" s="68">
        <f>XIRR(E44:E54,B44:B54)</f>
        <v>0.0352534902427297</v>
      </c>
      <c r="E17"/>
      <c r="F17"/>
      <c r="G17"/>
      <c r="H17"/>
      <c r="I17"/>
    </row>
    <row r="18" ht="17.6" spans="1:1024 1025:5010">
      <c r="A18"/>
      <c r="B18"/>
      <c r="C18" s="67" t="s">
        <v>39</v>
      </c>
      <c r="D18" s="69">
        <f>D16-D17</f>
        <v>-0.000385610916691315</v>
      </c>
      <c r="E18"/>
      <c r="F18"/>
      <c r="G18"/>
      <c r="H18"/>
      <c r="I18"/>
    </row>
    <row r="19" spans="1:1024 1025:5010">
      <c r="A19"/>
      <c r="B19"/>
      <c r="C19"/>
      <c r="D19"/>
      <c r="E19"/>
      <c r="F19"/>
      <c r="G19"/>
      <c r="H19"/>
      <c r="I19"/>
    </row>
    <row r="20" spans="1:1024 1025:5010">
      <c r="A20"/>
      <c r="B20"/>
      <c r="C20"/>
      <c r="D20"/>
      <c r="E20"/>
      <c r="F20"/>
      <c r="G20"/>
      <c r="H20"/>
      <c r="I20"/>
    </row>
    <row r="21" ht="17.6" spans="1:1024 1025:5010">
      <c r="A21" s="84" t="s">
        <v>40</v>
      </c>
      <c r="B21" s="85">
        <f>EDATE(B13,6)</f>
        <v>46280</v>
      </c>
      <c r="C21"/>
      <c r="D21"/>
      <c r="E21"/>
      <c r="F21"/>
      <c r="G21"/>
      <c r="H21"/>
      <c r="I21"/>
    </row>
    <row r="22" ht="17.6" spans="1:1024 1025:5010">
      <c r="A22" s="52" t="s">
        <v>41</v>
      </c>
      <c r="B22" s="86">
        <v>3</v>
      </c>
      <c r="C22"/>
      <c r="D22"/>
      <c r="E22"/>
      <c r="F22"/>
      <c r="G22"/>
      <c r="H22"/>
      <c r="I22"/>
    </row>
    <row r="23" ht="17.6" spans="1:1024 1025:5010">
      <c r="A23" s="84" t="s">
        <v>42</v>
      </c>
      <c r="B23" s="87">
        <f>DATEDIF(B13,B21,"M")</f>
        <v>6</v>
      </c>
      <c r="C23"/>
      <c r="D23"/>
      <c r="E23"/>
      <c r="F23"/>
      <c r="G23"/>
      <c r="H23"/>
      <c r="I23"/>
    </row>
    <row r="24" spans="1:1024 1025:5010">
      <c r="A24"/>
      <c r="B24"/>
      <c r="C24"/>
      <c r="D24"/>
      <c r="E24"/>
      <c r="F24"/>
      <c r="G24"/>
      <c r="H24"/>
      <c r="I24"/>
    </row>
    <row r="25" spans="1:1024 1025:5010">
      <c r="A25"/>
      <c r="B25"/>
      <c r="C25"/>
      <c r="D25"/>
      <c r="E25"/>
      <c r="F25"/>
      <c r="G25"/>
      <c r="H25"/>
      <c r="I25"/>
    </row>
    <row r="26" ht="23.2" spans="1:1024 1025:5010">
      <c r="A26" s="71" t="s">
        <v>43</v>
      </c>
      <c r="B26"/>
      <c r="C26"/>
      <c r="D26"/>
      <c r="E26"/>
      <c r="F26"/>
      <c r="G26"/>
      <c r="H26"/>
      <c r="I26"/>
    </row>
    <row r="27" s="18" customFormat="1" ht="36" spans="1:1024 1025:5010">
      <c r="A27" s="72" t="s">
        <v>44</v>
      </c>
      <c r="B27" s="72" t="s">
        <v>45</v>
      </c>
      <c r="C27" s="72" t="s">
        <v>46</v>
      </c>
      <c r="D27" s="72" t="s">
        <v>47</v>
      </c>
      <c r="E27" s="72" t="s">
        <v>48</v>
      </c>
      <c r="F27" s="72" t="s">
        <v>49</v>
      </c>
      <c r="G27" s="72" t="s">
        <v>50</v>
      </c>
      <c r="H27" s="72" t="s">
        <v>51</v>
      </c>
      <c r="I27" s="72" t="s">
        <v>52</v>
      </c>
      <c r="J27" s="72" t="s">
        <v>53</v>
      </c>
      <c r="K27" s="72" t="s">
        <v>54</v>
      </c>
      <c r="L27"/>
      <c r="M27" s="73" t="s">
        <v>55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  <c r="AMK27"/>
      <c r="AML27"/>
      <c r="AMM27"/>
      <c r="AMN27"/>
      <c r="AMO27"/>
      <c r="AMP27"/>
      <c r="AMQ27"/>
      <c r="AMR27"/>
      <c r="AMS27"/>
      <c r="AMT27"/>
      <c r="AMU27"/>
      <c r="AMV27"/>
      <c r="AMW27"/>
      <c r="AMX27"/>
      <c r="AMY27"/>
      <c r="AMZ27"/>
      <c r="ANA27"/>
      <c r="ANB27"/>
      <c r="ANC27"/>
      <c r="AND27"/>
      <c r="ANE27"/>
      <c r="ANF27"/>
      <c r="ANG27"/>
      <c r="ANH27"/>
      <c r="ANI27"/>
      <c r="ANJ27"/>
      <c r="ANK27"/>
      <c r="ANL27"/>
      <c r="ANM27"/>
      <c r="ANN27"/>
      <c r="ANO27"/>
      <c r="ANP27"/>
      <c r="ANQ27"/>
      <c r="ANR27"/>
      <c r="ANS27"/>
      <c r="ANT27"/>
      <c r="ANU27"/>
      <c r="ANV27"/>
      <c r="ANW27"/>
      <c r="ANX27"/>
      <c r="ANY27"/>
      <c r="ANZ27"/>
      <c r="AOA27"/>
      <c r="AOB27"/>
      <c r="AOC27"/>
      <c r="AOD27"/>
      <c r="AOE27"/>
      <c r="AOF27"/>
      <c r="AOG27"/>
      <c r="AOH27"/>
      <c r="AOI27"/>
      <c r="AOJ27"/>
      <c r="AOK27"/>
      <c r="AOL27"/>
      <c r="AOM27"/>
      <c r="AON27"/>
      <c r="AOO27"/>
      <c r="AOP27"/>
      <c r="AOQ27"/>
      <c r="AOR27"/>
      <c r="AOS27"/>
      <c r="AOT27"/>
      <c r="AOU27"/>
      <c r="AOV27"/>
      <c r="AOW27"/>
      <c r="AOX27"/>
      <c r="AOY27"/>
      <c r="AOZ27"/>
      <c r="APA27"/>
      <c r="APB27"/>
      <c r="APC27"/>
      <c r="APD27"/>
      <c r="APE27"/>
      <c r="APF27"/>
      <c r="APG27"/>
      <c r="APH27"/>
      <c r="API27"/>
      <c r="APJ27"/>
      <c r="APK27"/>
      <c r="APL27"/>
      <c r="APM27"/>
      <c r="APN27"/>
      <c r="APO27"/>
      <c r="APP27"/>
      <c r="APQ27"/>
      <c r="APR27"/>
      <c r="APS27"/>
      <c r="APT27"/>
      <c r="APU27"/>
      <c r="APV27"/>
      <c r="APW27"/>
      <c r="APX27"/>
      <c r="APY27"/>
      <c r="APZ27"/>
      <c r="AQA27"/>
      <c r="AQB27"/>
      <c r="AQC27"/>
      <c r="AQD27"/>
      <c r="AQE27"/>
      <c r="AQF27"/>
      <c r="AQG27"/>
      <c r="AQH27"/>
      <c r="AQI27"/>
      <c r="AQJ27"/>
      <c r="AQK27"/>
      <c r="AQL27"/>
      <c r="AQM27"/>
      <c r="AQN27"/>
      <c r="AQO27"/>
      <c r="AQP27"/>
      <c r="AQQ27"/>
      <c r="AQR27"/>
      <c r="AQS27"/>
      <c r="AQT27"/>
      <c r="AQU27"/>
      <c r="AQV27"/>
      <c r="AQW27"/>
      <c r="AQX27"/>
      <c r="AQY27"/>
      <c r="AQZ27"/>
      <c r="ARA27"/>
      <c r="ARB27"/>
      <c r="ARC27"/>
      <c r="ARD27"/>
      <c r="ARE27"/>
      <c r="ARF27"/>
      <c r="ARG27"/>
      <c r="ARH27"/>
      <c r="ARI27"/>
      <c r="ARJ27"/>
      <c r="ARK27"/>
      <c r="ARL27"/>
      <c r="ARM27"/>
      <c r="ARN27"/>
      <c r="ARO27"/>
      <c r="ARP27"/>
      <c r="ARQ27"/>
      <c r="ARR27"/>
      <c r="ARS27"/>
      <c r="ART27"/>
      <c r="ARU27"/>
      <c r="ARV27"/>
      <c r="ARW27"/>
      <c r="ARX27"/>
      <c r="ARY27"/>
      <c r="ARZ27"/>
      <c r="ASA27"/>
      <c r="ASB27"/>
      <c r="ASC27"/>
      <c r="ASD27"/>
      <c r="ASE27"/>
      <c r="ASF27"/>
      <c r="ASG27"/>
      <c r="ASH27"/>
      <c r="ASI27"/>
      <c r="ASJ27"/>
      <c r="ASK27"/>
      <c r="ASL27"/>
      <c r="ASM27"/>
      <c r="ASN27"/>
      <c r="ASO27"/>
      <c r="ASP27"/>
      <c r="ASQ27"/>
      <c r="ASR27"/>
      <c r="ASS27"/>
      <c r="AST27"/>
      <c r="ASU27"/>
      <c r="ASV27"/>
      <c r="ASW27"/>
      <c r="ASX27"/>
      <c r="ASY27"/>
      <c r="ASZ27"/>
      <c r="ATA27"/>
      <c r="ATB27"/>
      <c r="ATC27"/>
      <c r="ATD27"/>
      <c r="ATE27"/>
      <c r="ATF27"/>
      <c r="ATG27"/>
      <c r="ATH27"/>
      <c r="ATI27"/>
      <c r="ATJ27"/>
      <c r="ATK27"/>
      <c r="ATL27"/>
      <c r="ATM27"/>
      <c r="ATN27"/>
      <c r="ATO27"/>
      <c r="ATP27"/>
      <c r="ATQ27"/>
      <c r="ATR27"/>
      <c r="ATS27"/>
      <c r="ATT27"/>
      <c r="ATU27"/>
      <c r="ATV27"/>
      <c r="ATW27"/>
      <c r="ATX27"/>
      <c r="ATY27"/>
      <c r="ATZ27"/>
      <c r="AUA27"/>
      <c r="AUB27"/>
      <c r="AUC27"/>
      <c r="AUD27"/>
      <c r="AUE27"/>
      <c r="AUF27"/>
      <c r="AUG27"/>
      <c r="AUH27"/>
      <c r="AUI27"/>
      <c r="AUJ27"/>
      <c r="AUK27"/>
      <c r="AUL27"/>
      <c r="AUM27"/>
      <c r="AUN27"/>
      <c r="AUO27"/>
      <c r="AUP27"/>
      <c r="AUQ27"/>
      <c r="AUR27"/>
      <c r="AUS27"/>
      <c r="AUT27"/>
      <c r="AUU27"/>
      <c r="AUV27"/>
      <c r="AUW27"/>
      <c r="AUX27"/>
      <c r="AUY27"/>
      <c r="AUZ27"/>
      <c r="AVA27"/>
      <c r="AVB27"/>
      <c r="AVC27"/>
      <c r="AVD27"/>
      <c r="AVE27"/>
      <c r="AVF27"/>
      <c r="AVG27"/>
      <c r="AVH27"/>
      <c r="AVI27"/>
      <c r="AVJ27"/>
      <c r="AVK27"/>
      <c r="AVL27"/>
      <c r="AVM27"/>
      <c r="AVN27"/>
      <c r="AVO27"/>
      <c r="AVP27"/>
      <c r="AVQ27"/>
      <c r="AVR27"/>
      <c r="AVS27"/>
      <c r="AVT27"/>
      <c r="AVU27"/>
      <c r="AVV27"/>
      <c r="AVW27"/>
      <c r="AVX27"/>
      <c r="AVY27"/>
      <c r="AVZ27"/>
      <c r="AWA27"/>
      <c r="AWB27"/>
      <c r="AWC27"/>
      <c r="AWD27"/>
      <c r="AWE27"/>
      <c r="AWF27"/>
      <c r="AWG27"/>
      <c r="AWH27"/>
      <c r="AWI27"/>
      <c r="AWJ27"/>
      <c r="AWK27"/>
      <c r="AWL27"/>
      <c r="AWM27"/>
      <c r="AWN27"/>
      <c r="AWO27"/>
      <c r="AWP27"/>
      <c r="AWQ27"/>
      <c r="AWR27"/>
      <c r="AWS27"/>
      <c r="AWT27"/>
      <c r="AWU27"/>
      <c r="AWV27"/>
      <c r="AWW27"/>
      <c r="AWX27"/>
      <c r="AWY27"/>
      <c r="AWZ27"/>
      <c r="AXA27"/>
      <c r="AXB27"/>
      <c r="AXC27"/>
      <c r="AXD27"/>
      <c r="AXE27"/>
      <c r="AXF27"/>
      <c r="AXG27"/>
      <c r="AXH27"/>
      <c r="AXI27"/>
      <c r="AXJ27"/>
      <c r="AXK27"/>
      <c r="AXL27"/>
      <c r="AXM27"/>
      <c r="AXN27"/>
      <c r="AXO27"/>
      <c r="AXP27"/>
      <c r="AXQ27"/>
      <c r="AXR27"/>
      <c r="AXS27"/>
      <c r="AXT27"/>
      <c r="AXU27"/>
      <c r="AXV27"/>
      <c r="AXW27"/>
      <c r="AXX27"/>
      <c r="AXY27"/>
      <c r="AXZ27"/>
      <c r="AYA27"/>
      <c r="AYB27"/>
      <c r="AYC27"/>
      <c r="AYD27"/>
      <c r="AYE27"/>
      <c r="AYF27"/>
      <c r="AYG27"/>
      <c r="AYH27"/>
      <c r="AYI27"/>
      <c r="AYJ27"/>
      <c r="AYK27"/>
      <c r="AYL27"/>
      <c r="AYM27"/>
      <c r="AYN27"/>
      <c r="AYO27"/>
      <c r="AYP27"/>
      <c r="AYQ27"/>
      <c r="AYR27"/>
      <c r="AYS27"/>
      <c r="AYT27"/>
      <c r="AYU27"/>
      <c r="AYV27"/>
      <c r="AYW27"/>
      <c r="AYX27"/>
      <c r="AYY27"/>
      <c r="AYZ27"/>
      <c r="AZA27"/>
      <c r="AZB27"/>
      <c r="AZC27"/>
      <c r="AZD27"/>
      <c r="AZE27"/>
      <c r="AZF27"/>
      <c r="AZG27"/>
      <c r="AZH27"/>
      <c r="AZI27"/>
      <c r="AZJ27"/>
      <c r="AZK27"/>
      <c r="AZL27"/>
      <c r="AZM27"/>
      <c r="AZN27"/>
      <c r="AZO27"/>
      <c r="AZP27"/>
      <c r="AZQ27"/>
      <c r="AZR27"/>
      <c r="AZS27"/>
      <c r="AZT27"/>
      <c r="AZU27"/>
      <c r="AZV27"/>
      <c r="AZW27"/>
      <c r="AZX27"/>
      <c r="AZY27"/>
      <c r="AZZ27"/>
      <c r="BAA27"/>
      <c r="BAB27"/>
      <c r="BAC27"/>
      <c r="BAD27"/>
      <c r="BAE27"/>
      <c r="BAF27"/>
      <c r="BAG27"/>
      <c r="BAH27"/>
      <c r="BAI27"/>
      <c r="BAJ27"/>
      <c r="BAK27"/>
      <c r="BAL27"/>
      <c r="BAM27"/>
      <c r="BAN27"/>
      <c r="BAO27"/>
      <c r="BAP27"/>
      <c r="BAQ27"/>
      <c r="BAR27"/>
      <c r="BAS27"/>
      <c r="BAT27"/>
      <c r="BAU27"/>
      <c r="BAV27"/>
      <c r="BAW27"/>
      <c r="BAX27"/>
      <c r="BAY27"/>
      <c r="BAZ27"/>
      <c r="BBA27"/>
      <c r="BBB27"/>
      <c r="BBC27"/>
      <c r="BBD27"/>
      <c r="BBE27"/>
      <c r="BBF27"/>
      <c r="BBG27"/>
      <c r="BBH27"/>
      <c r="BBI27"/>
      <c r="BBJ27"/>
      <c r="BBK27"/>
      <c r="BBL27"/>
      <c r="BBM27"/>
      <c r="BBN27"/>
      <c r="BBO27"/>
      <c r="BBP27"/>
      <c r="BBQ27"/>
      <c r="BBR27"/>
      <c r="BBS27"/>
      <c r="BBT27"/>
      <c r="BBU27"/>
      <c r="BBV27"/>
      <c r="BBW27"/>
      <c r="BBX27"/>
      <c r="BBY27"/>
      <c r="BBZ27"/>
      <c r="BCA27"/>
      <c r="BCB27"/>
      <c r="BCC27"/>
      <c r="BCD27"/>
      <c r="BCE27"/>
      <c r="BCF27"/>
      <c r="BCG27"/>
      <c r="BCH27"/>
      <c r="BCI27"/>
      <c r="BCJ27"/>
      <c r="BCK27"/>
      <c r="BCL27"/>
      <c r="BCM27"/>
      <c r="BCN27"/>
      <c r="BCO27"/>
      <c r="BCP27"/>
      <c r="BCQ27"/>
      <c r="BCR27"/>
      <c r="BCS27"/>
      <c r="BCT27"/>
      <c r="BCU27"/>
      <c r="BCV27"/>
      <c r="BCW27"/>
      <c r="BCX27"/>
      <c r="BCY27"/>
      <c r="BCZ27"/>
      <c r="BDA27"/>
      <c r="BDB27"/>
      <c r="BDC27"/>
      <c r="BDD27"/>
      <c r="BDE27"/>
      <c r="BDF27"/>
      <c r="BDG27"/>
      <c r="BDH27"/>
      <c r="BDI27"/>
      <c r="BDJ27"/>
      <c r="BDK27"/>
      <c r="BDL27"/>
      <c r="BDM27"/>
      <c r="BDN27"/>
      <c r="BDO27"/>
      <c r="BDP27"/>
      <c r="BDQ27"/>
      <c r="BDR27"/>
      <c r="BDS27"/>
      <c r="BDT27"/>
      <c r="BDU27"/>
      <c r="BDV27"/>
      <c r="BDW27"/>
      <c r="BDX27"/>
      <c r="BDY27"/>
      <c r="BDZ27"/>
      <c r="BEA27"/>
      <c r="BEB27"/>
      <c r="BEC27"/>
      <c r="BED27"/>
      <c r="BEE27"/>
      <c r="BEF27"/>
      <c r="BEG27"/>
      <c r="BEH27"/>
      <c r="BEI27"/>
      <c r="BEJ27"/>
      <c r="BEK27"/>
      <c r="BEL27"/>
      <c r="BEM27"/>
      <c r="BEN27"/>
      <c r="BEO27"/>
      <c r="BEP27"/>
      <c r="BEQ27"/>
      <c r="BER27"/>
      <c r="BES27"/>
      <c r="BET27"/>
      <c r="BEU27"/>
      <c r="BEV27"/>
      <c r="BEW27"/>
      <c r="BEX27"/>
      <c r="BEY27"/>
      <c r="BEZ27"/>
      <c r="BFA27"/>
      <c r="BFB27"/>
      <c r="BFC27"/>
      <c r="BFD27"/>
      <c r="BFE27"/>
      <c r="BFF27"/>
      <c r="BFG27"/>
      <c r="BFH27"/>
      <c r="BFI27"/>
      <c r="BFJ27"/>
      <c r="BFK27"/>
      <c r="BFL27"/>
      <c r="BFM27"/>
      <c r="BFN27"/>
      <c r="BFO27"/>
      <c r="BFP27"/>
      <c r="BFQ27"/>
      <c r="BFR27"/>
      <c r="BFS27"/>
      <c r="BFT27"/>
      <c r="BFU27"/>
      <c r="BFV27"/>
      <c r="BFW27"/>
      <c r="BFX27"/>
      <c r="BFY27"/>
      <c r="BFZ27"/>
      <c r="BGA27"/>
      <c r="BGB27"/>
      <c r="BGC27"/>
      <c r="BGD27"/>
      <c r="BGE27"/>
      <c r="BGF27"/>
      <c r="BGG27"/>
      <c r="BGH27"/>
      <c r="BGI27"/>
      <c r="BGJ27"/>
      <c r="BGK27"/>
      <c r="BGL27"/>
      <c r="BGM27"/>
      <c r="BGN27"/>
      <c r="BGO27"/>
      <c r="BGP27"/>
      <c r="BGQ27"/>
      <c r="BGR27"/>
      <c r="BGS27"/>
      <c r="BGT27"/>
      <c r="BGU27"/>
      <c r="BGV27"/>
      <c r="BGW27"/>
      <c r="BGX27"/>
      <c r="BGY27"/>
      <c r="BGZ27"/>
      <c r="BHA27"/>
      <c r="BHB27"/>
      <c r="BHC27"/>
      <c r="BHD27"/>
      <c r="BHE27"/>
      <c r="BHF27"/>
      <c r="BHG27"/>
      <c r="BHH27"/>
      <c r="BHI27"/>
      <c r="BHJ27"/>
      <c r="BHK27"/>
      <c r="BHL27"/>
      <c r="BHM27"/>
      <c r="BHN27"/>
      <c r="BHO27"/>
      <c r="BHP27"/>
      <c r="BHQ27"/>
      <c r="BHR27"/>
      <c r="BHS27"/>
      <c r="BHT27"/>
      <c r="BHU27"/>
      <c r="BHV27"/>
      <c r="BHW27"/>
      <c r="BHX27"/>
      <c r="BHY27"/>
      <c r="BHZ27"/>
      <c r="BIA27"/>
      <c r="BIB27"/>
      <c r="BIC27"/>
      <c r="BID27"/>
      <c r="BIE27"/>
      <c r="BIF27"/>
      <c r="BIG27"/>
      <c r="BIH27"/>
      <c r="BII27"/>
      <c r="BIJ27"/>
      <c r="BIK27"/>
      <c r="BIL27"/>
      <c r="BIM27"/>
      <c r="BIN27"/>
      <c r="BIO27"/>
      <c r="BIP27"/>
      <c r="BIQ27"/>
      <c r="BIR27"/>
      <c r="BIS27"/>
      <c r="BIT27"/>
      <c r="BIU27"/>
      <c r="BIV27"/>
      <c r="BIW27"/>
      <c r="BIX27"/>
      <c r="BIY27"/>
      <c r="BIZ27"/>
      <c r="BJA27"/>
      <c r="BJB27"/>
      <c r="BJC27"/>
      <c r="BJD27"/>
      <c r="BJE27"/>
      <c r="BJF27"/>
      <c r="BJG27"/>
      <c r="BJH27"/>
      <c r="BJI27"/>
      <c r="BJJ27"/>
      <c r="BJK27"/>
      <c r="BJL27"/>
      <c r="BJM27"/>
      <c r="BJN27"/>
      <c r="BJO27"/>
      <c r="BJP27"/>
      <c r="BJQ27"/>
      <c r="BJR27"/>
      <c r="BJS27"/>
      <c r="BJT27"/>
      <c r="BJU27"/>
      <c r="BJV27"/>
      <c r="BJW27"/>
      <c r="BJX27"/>
      <c r="BJY27"/>
      <c r="BJZ27"/>
      <c r="BKA27"/>
      <c r="BKB27"/>
      <c r="BKC27"/>
      <c r="BKD27"/>
      <c r="BKE27"/>
      <c r="BKF27"/>
      <c r="BKG27"/>
      <c r="BKH27"/>
      <c r="BKI27"/>
      <c r="BKJ27"/>
      <c r="BKK27"/>
      <c r="BKL27"/>
      <c r="BKM27"/>
      <c r="BKN27"/>
      <c r="BKO27"/>
      <c r="BKP27"/>
      <c r="BKQ27"/>
      <c r="BKR27"/>
      <c r="BKS27"/>
      <c r="BKT27"/>
      <c r="BKU27"/>
      <c r="BKV27"/>
      <c r="BKW27"/>
      <c r="BKX27"/>
      <c r="BKY27"/>
      <c r="BKZ27"/>
      <c r="BLA27"/>
      <c r="BLB27"/>
      <c r="BLC27"/>
      <c r="BLD27"/>
      <c r="BLE27"/>
      <c r="BLF27"/>
      <c r="BLG27"/>
      <c r="BLH27"/>
      <c r="BLI27"/>
      <c r="BLJ27"/>
      <c r="BLK27"/>
      <c r="BLL27"/>
      <c r="BLM27"/>
      <c r="BLN27"/>
      <c r="BLO27"/>
      <c r="BLP27"/>
      <c r="BLQ27"/>
      <c r="BLR27"/>
      <c r="BLS27"/>
      <c r="BLT27"/>
      <c r="BLU27"/>
      <c r="BLV27"/>
      <c r="BLW27"/>
      <c r="BLX27"/>
      <c r="BLY27"/>
      <c r="BLZ27"/>
      <c r="BMA27"/>
      <c r="BMB27"/>
      <c r="BMC27"/>
      <c r="BMD27"/>
      <c r="BME27"/>
      <c r="BMF27"/>
      <c r="BMG27"/>
      <c r="BMH27"/>
      <c r="BMI27"/>
      <c r="BMJ27"/>
      <c r="BMK27"/>
      <c r="BML27"/>
      <c r="BMM27"/>
      <c r="BMN27"/>
      <c r="BMO27"/>
      <c r="BMP27"/>
      <c r="BMQ27"/>
      <c r="BMR27"/>
      <c r="BMS27"/>
      <c r="BMT27"/>
      <c r="BMU27"/>
      <c r="BMV27"/>
      <c r="BMW27"/>
      <c r="BMX27"/>
      <c r="BMY27"/>
      <c r="BMZ27"/>
      <c r="BNA27"/>
      <c r="BNB27"/>
      <c r="BNC27"/>
      <c r="BND27"/>
      <c r="BNE27"/>
      <c r="BNF27"/>
      <c r="BNG27"/>
      <c r="BNH27"/>
      <c r="BNI27"/>
      <c r="BNJ27"/>
      <c r="BNK27"/>
      <c r="BNL27"/>
      <c r="BNM27"/>
      <c r="BNN27"/>
      <c r="BNO27"/>
      <c r="BNP27"/>
      <c r="BNQ27"/>
      <c r="BNR27"/>
      <c r="BNS27"/>
      <c r="BNT27"/>
      <c r="BNU27"/>
      <c r="BNV27"/>
      <c r="BNW27"/>
      <c r="BNX27"/>
      <c r="BNY27"/>
      <c r="BNZ27"/>
      <c r="BOA27"/>
      <c r="BOB27"/>
      <c r="BOC27"/>
      <c r="BOD27"/>
      <c r="BOE27"/>
      <c r="BOF27"/>
      <c r="BOG27"/>
      <c r="BOH27"/>
      <c r="BOI27"/>
      <c r="BOJ27"/>
      <c r="BOK27"/>
      <c r="BOL27"/>
      <c r="BOM27"/>
      <c r="BON27"/>
      <c r="BOO27"/>
      <c r="BOP27"/>
      <c r="BOQ27"/>
      <c r="BOR27"/>
      <c r="BOS27"/>
      <c r="BOT27"/>
      <c r="BOU27"/>
      <c r="BOV27"/>
      <c r="BOW27"/>
      <c r="BOX27"/>
      <c r="BOY27"/>
      <c r="BOZ27"/>
      <c r="BPA27"/>
      <c r="BPB27"/>
      <c r="BPC27"/>
      <c r="BPD27"/>
      <c r="BPE27"/>
      <c r="BPF27"/>
      <c r="BPG27"/>
      <c r="BPH27"/>
      <c r="BPI27"/>
      <c r="BPJ27"/>
      <c r="BPK27"/>
      <c r="BPL27"/>
      <c r="BPM27"/>
      <c r="BPN27"/>
      <c r="BPO27"/>
      <c r="BPP27"/>
      <c r="BPQ27"/>
      <c r="BPR27"/>
      <c r="BPS27"/>
      <c r="BPT27"/>
      <c r="BPU27"/>
      <c r="BPV27"/>
      <c r="BPW27"/>
      <c r="BPX27"/>
      <c r="BPY27"/>
      <c r="BPZ27"/>
      <c r="BQA27"/>
      <c r="BQB27"/>
      <c r="BQC27"/>
      <c r="BQD27"/>
      <c r="BQE27"/>
      <c r="BQF27"/>
      <c r="BQG27"/>
      <c r="BQH27"/>
      <c r="BQI27"/>
      <c r="BQJ27"/>
      <c r="BQK27"/>
      <c r="BQL27"/>
      <c r="BQM27"/>
      <c r="BQN27"/>
      <c r="BQO27"/>
      <c r="BQP27"/>
      <c r="BQQ27"/>
      <c r="BQR27"/>
      <c r="BQS27"/>
      <c r="BQT27"/>
      <c r="BQU27"/>
      <c r="BQV27"/>
      <c r="BQW27"/>
      <c r="BQX27"/>
      <c r="BQY27"/>
      <c r="BQZ27"/>
      <c r="BRA27"/>
      <c r="BRB27"/>
      <c r="BRC27"/>
      <c r="BRD27"/>
      <c r="BRE27"/>
      <c r="BRF27"/>
      <c r="BRG27"/>
      <c r="BRH27"/>
      <c r="BRI27"/>
      <c r="BRJ27"/>
      <c r="BRK27"/>
      <c r="BRL27"/>
      <c r="BRM27"/>
      <c r="BRN27"/>
      <c r="BRO27"/>
      <c r="BRP27"/>
      <c r="BRQ27"/>
      <c r="BRR27"/>
      <c r="BRS27"/>
      <c r="BRT27"/>
      <c r="BRU27"/>
      <c r="BRV27"/>
      <c r="BRW27"/>
      <c r="BRX27"/>
      <c r="BRY27"/>
      <c r="BRZ27"/>
      <c r="BSA27"/>
      <c r="BSB27"/>
      <c r="BSC27"/>
      <c r="BSD27"/>
      <c r="BSE27"/>
      <c r="BSF27"/>
      <c r="BSG27"/>
      <c r="BSH27"/>
      <c r="BSI27"/>
      <c r="BSJ27"/>
      <c r="BSK27"/>
      <c r="BSL27"/>
      <c r="BSM27"/>
      <c r="BSN27"/>
      <c r="BSO27"/>
      <c r="BSP27"/>
      <c r="BSQ27"/>
      <c r="BSR27"/>
      <c r="BSS27"/>
      <c r="BST27"/>
      <c r="BSU27"/>
      <c r="BSV27"/>
      <c r="BSW27"/>
      <c r="BSX27"/>
      <c r="BSY27"/>
      <c r="BSZ27"/>
      <c r="BTA27"/>
      <c r="BTB27"/>
      <c r="BTC27"/>
      <c r="BTD27"/>
      <c r="BTE27"/>
      <c r="BTF27"/>
      <c r="BTG27"/>
      <c r="BTH27"/>
      <c r="BTI27"/>
      <c r="BTJ27"/>
      <c r="BTK27"/>
      <c r="BTL27"/>
      <c r="BTM27"/>
      <c r="BTN27"/>
      <c r="BTO27"/>
      <c r="BTP27"/>
      <c r="BTQ27"/>
      <c r="BTR27"/>
      <c r="BTS27"/>
      <c r="BTT27"/>
      <c r="BTU27"/>
      <c r="BTV27"/>
      <c r="BTW27"/>
      <c r="BTX27"/>
      <c r="BTY27"/>
      <c r="BTZ27"/>
      <c r="BUA27"/>
      <c r="BUB27"/>
      <c r="BUC27"/>
      <c r="BUD27"/>
      <c r="BUE27"/>
      <c r="BUF27"/>
      <c r="BUG27"/>
      <c r="BUH27"/>
      <c r="BUI27"/>
      <c r="BUJ27"/>
      <c r="BUK27"/>
      <c r="BUL27"/>
      <c r="BUM27"/>
      <c r="BUN27"/>
      <c r="BUO27"/>
      <c r="BUP27"/>
      <c r="BUQ27"/>
      <c r="BUR27"/>
      <c r="BUS27"/>
      <c r="BUT27"/>
      <c r="BUU27"/>
      <c r="BUV27"/>
      <c r="BUW27"/>
      <c r="BUX27"/>
      <c r="BUY27"/>
      <c r="BUZ27"/>
      <c r="BVA27"/>
      <c r="BVB27"/>
      <c r="BVC27"/>
      <c r="BVD27"/>
      <c r="BVE27"/>
      <c r="BVF27"/>
      <c r="BVG27"/>
      <c r="BVH27"/>
      <c r="BVI27"/>
      <c r="BVJ27"/>
      <c r="BVK27"/>
      <c r="BVL27"/>
      <c r="BVM27"/>
      <c r="BVN27"/>
      <c r="BVO27"/>
      <c r="BVP27"/>
      <c r="BVQ27"/>
      <c r="BVR27"/>
      <c r="BVS27"/>
      <c r="BVT27"/>
      <c r="BVU27"/>
      <c r="BVV27"/>
      <c r="BVW27"/>
      <c r="BVX27"/>
      <c r="BVY27"/>
      <c r="BVZ27"/>
      <c r="BWA27"/>
      <c r="BWB27"/>
      <c r="BWC27"/>
      <c r="BWD27"/>
      <c r="BWE27"/>
      <c r="BWF27"/>
      <c r="BWG27"/>
      <c r="BWH27"/>
      <c r="BWI27"/>
      <c r="BWJ27"/>
      <c r="BWK27"/>
      <c r="BWL27"/>
      <c r="BWM27"/>
      <c r="BWN27"/>
      <c r="BWO27"/>
      <c r="BWP27"/>
      <c r="BWQ27"/>
      <c r="BWR27"/>
      <c r="BWS27"/>
      <c r="BWT27"/>
      <c r="BWU27"/>
      <c r="BWV27"/>
      <c r="BWW27"/>
      <c r="BWX27"/>
      <c r="BWY27"/>
      <c r="BWZ27"/>
      <c r="BXA27"/>
      <c r="BXB27"/>
      <c r="BXC27"/>
      <c r="BXD27"/>
      <c r="BXE27"/>
      <c r="BXF27"/>
      <c r="BXG27"/>
      <c r="BXH27"/>
      <c r="BXI27"/>
      <c r="BXJ27"/>
      <c r="BXK27"/>
      <c r="BXL27"/>
      <c r="BXM27"/>
      <c r="BXN27"/>
      <c r="BXO27"/>
      <c r="BXP27"/>
      <c r="BXQ27"/>
      <c r="BXR27"/>
      <c r="BXS27"/>
      <c r="BXT27"/>
      <c r="BXU27"/>
      <c r="BXV27"/>
      <c r="BXW27"/>
      <c r="BXX27"/>
      <c r="BXY27"/>
      <c r="BXZ27"/>
      <c r="BYA27"/>
      <c r="BYB27"/>
      <c r="BYC27"/>
      <c r="BYD27"/>
      <c r="BYE27"/>
      <c r="BYF27"/>
      <c r="BYG27"/>
      <c r="BYH27"/>
      <c r="BYI27"/>
      <c r="BYJ27"/>
      <c r="BYK27"/>
      <c r="BYL27"/>
      <c r="BYM27"/>
      <c r="BYN27"/>
      <c r="BYO27"/>
      <c r="BYP27"/>
      <c r="BYQ27"/>
      <c r="BYR27"/>
      <c r="BYS27"/>
      <c r="BYT27"/>
      <c r="BYU27"/>
      <c r="BYV27"/>
      <c r="BYW27"/>
      <c r="BYX27"/>
      <c r="BYY27"/>
      <c r="BYZ27"/>
      <c r="BZA27"/>
      <c r="BZB27"/>
      <c r="BZC27"/>
      <c r="BZD27"/>
      <c r="BZE27"/>
      <c r="BZF27"/>
      <c r="BZG27"/>
      <c r="BZH27"/>
      <c r="BZI27"/>
      <c r="BZJ27"/>
      <c r="BZK27"/>
      <c r="BZL27"/>
      <c r="BZM27"/>
      <c r="BZN27"/>
      <c r="BZO27"/>
      <c r="BZP27"/>
      <c r="BZQ27"/>
      <c r="BZR27"/>
      <c r="BZS27"/>
      <c r="BZT27"/>
      <c r="BZU27"/>
      <c r="BZV27"/>
      <c r="BZW27"/>
      <c r="BZX27"/>
      <c r="BZY27"/>
      <c r="BZZ27"/>
      <c r="CAA27"/>
      <c r="CAB27"/>
      <c r="CAC27"/>
      <c r="CAD27"/>
      <c r="CAE27"/>
      <c r="CAF27"/>
      <c r="CAG27"/>
      <c r="CAH27"/>
      <c r="CAI27"/>
      <c r="CAJ27"/>
      <c r="CAK27"/>
      <c r="CAL27"/>
      <c r="CAM27"/>
      <c r="CAN27"/>
      <c r="CAO27"/>
      <c r="CAP27"/>
      <c r="CAQ27"/>
      <c r="CAR27"/>
      <c r="CAS27"/>
      <c r="CAT27"/>
      <c r="CAU27"/>
      <c r="CAV27"/>
      <c r="CAW27"/>
      <c r="CAX27"/>
      <c r="CAY27"/>
      <c r="CAZ27"/>
      <c r="CBA27"/>
      <c r="CBB27"/>
      <c r="CBC27"/>
      <c r="CBD27"/>
      <c r="CBE27"/>
      <c r="CBF27"/>
      <c r="CBG27"/>
      <c r="CBH27"/>
      <c r="CBI27"/>
      <c r="CBJ27"/>
      <c r="CBK27"/>
      <c r="CBL27"/>
      <c r="CBM27"/>
      <c r="CBN27"/>
      <c r="CBO27"/>
      <c r="CBP27"/>
      <c r="CBQ27"/>
      <c r="CBR27"/>
      <c r="CBS27"/>
      <c r="CBT27"/>
      <c r="CBU27"/>
      <c r="CBV27"/>
      <c r="CBW27"/>
      <c r="CBX27"/>
      <c r="CBY27"/>
      <c r="CBZ27"/>
      <c r="CCA27"/>
      <c r="CCB27"/>
      <c r="CCC27"/>
      <c r="CCD27"/>
      <c r="CCE27"/>
      <c r="CCF27"/>
      <c r="CCG27"/>
      <c r="CCH27"/>
      <c r="CCI27"/>
      <c r="CCJ27"/>
      <c r="CCK27"/>
      <c r="CCL27"/>
      <c r="CCM27"/>
      <c r="CCN27"/>
      <c r="CCO27"/>
      <c r="CCP27"/>
      <c r="CCQ27"/>
      <c r="CCR27"/>
      <c r="CCS27"/>
      <c r="CCT27"/>
      <c r="CCU27"/>
      <c r="CCV27"/>
      <c r="CCW27"/>
      <c r="CCX27"/>
      <c r="CCY27"/>
      <c r="CCZ27"/>
      <c r="CDA27"/>
      <c r="CDB27"/>
      <c r="CDC27"/>
      <c r="CDD27"/>
      <c r="CDE27"/>
      <c r="CDF27"/>
      <c r="CDG27"/>
      <c r="CDH27"/>
      <c r="CDI27"/>
      <c r="CDJ27"/>
      <c r="CDK27"/>
      <c r="CDL27"/>
      <c r="CDM27"/>
      <c r="CDN27"/>
      <c r="CDO27"/>
      <c r="CDP27"/>
      <c r="CDQ27"/>
      <c r="CDR27"/>
      <c r="CDS27"/>
      <c r="CDT27"/>
      <c r="CDU27"/>
      <c r="CDV27"/>
      <c r="CDW27"/>
      <c r="CDX27"/>
      <c r="CDY27"/>
      <c r="CDZ27"/>
      <c r="CEA27"/>
      <c r="CEB27"/>
      <c r="CEC27"/>
      <c r="CED27"/>
      <c r="CEE27"/>
      <c r="CEF27"/>
      <c r="CEG27"/>
      <c r="CEH27"/>
      <c r="CEI27"/>
      <c r="CEJ27"/>
      <c r="CEK27"/>
      <c r="CEL27"/>
      <c r="CEM27"/>
      <c r="CEN27"/>
      <c r="CEO27"/>
      <c r="CEP27"/>
      <c r="CEQ27"/>
      <c r="CER27"/>
      <c r="CES27"/>
      <c r="CET27"/>
      <c r="CEU27"/>
      <c r="CEV27"/>
      <c r="CEW27"/>
      <c r="CEX27"/>
      <c r="CEY27"/>
      <c r="CEZ27"/>
      <c r="CFA27"/>
      <c r="CFB27"/>
      <c r="CFC27"/>
      <c r="CFD27"/>
      <c r="CFE27"/>
      <c r="CFF27"/>
      <c r="CFG27"/>
      <c r="CFH27"/>
      <c r="CFI27"/>
      <c r="CFJ27"/>
      <c r="CFK27"/>
      <c r="CFL27"/>
      <c r="CFM27"/>
      <c r="CFN27"/>
      <c r="CFO27"/>
      <c r="CFP27"/>
      <c r="CFQ27"/>
      <c r="CFR27"/>
      <c r="CFS27"/>
      <c r="CFT27"/>
      <c r="CFU27"/>
      <c r="CFV27"/>
      <c r="CFW27"/>
      <c r="CFX27"/>
      <c r="CFY27"/>
      <c r="CFZ27"/>
      <c r="CGA27"/>
      <c r="CGB27"/>
      <c r="CGC27"/>
      <c r="CGD27"/>
      <c r="CGE27"/>
      <c r="CGF27"/>
      <c r="CGG27"/>
      <c r="CGH27"/>
      <c r="CGI27"/>
      <c r="CGJ27"/>
      <c r="CGK27"/>
      <c r="CGL27"/>
      <c r="CGM27"/>
      <c r="CGN27"/>
      <c r="CGO27"/>
      <c r="CGP27"/>
      <c r="CGQ27"/>
      <c r="CGR27"/>
      <c r="CGS27"/>
      <c r="CGT27"/>
      <c r="CGU27"/>
      <c r="CGV27"/>
      <c r="CGW27"/>
      <c r="CGX27"/>
      <c r="CGY27"/>
      <c r="CGZ27"/>
      <c r="CHA27"/>
      <c r="CHB27"/>
      <c r="CHC27"/>
      <c r="CHD27"/>
      <c r="CHE27"/>
      <c r="CHF27"/>
      <c r="CHG27"/>
      <c r="CHH27"/>
      <c r="CHI27"/>
      <c r="CHJ27"/>
      <c r="CHK27"/>
      <c r="CHL27"/>
      <c r="CHM27"/>
      <c r="CHN27"/>
      <c r="CHO27"/>
      <c r="CHP27"/>
      <c r="CHQ27"/>
      <c r="CHR27"/>
      <c r="CHS27"/>
      <c r="CHT27"/>
      <c r="CHU27"/>
      <c r="CHV27"/>
      <c r="CHW27"/>
      <c r="CHX27"/>
      <c r="CHY27"/>
      <c r="CHZ27"/>
      <c r="CIA27"/>
      <c r="CIB27"/>
      <c r="CIC27"/>
      <c r="CID27"/>
      <c r="CIE27"/>
      <c r="CIF27"/>
      <c r="CIG27"/>
      <c r="CIH27"/>
      <c r="CII27"/>
      <c r="CIJ27"/>
      <c r="CIK27"/>
      <c r="CIL27"/>
      <c r="CIM27"/>
      <c r="CIN27"/>
      <c r="CIO27"/>
      <c r="CIP27"/>
      <c r="CIQ27"/>
      <c r="CIR27"/>
      <c r="CIS27"/>
      <c r="CIT27"/>
      <c r="CIU27"/>
      <c r="CIV27"/>
      <c r="CIW27"/>
      <c r="CIX27"/>
      <c r="CIY27"/>
      <c r="CIZ27"/>
      <c r="CJA27"/>
      <c r="CJB27"/>
      <c r="CJC27"/>
      <c r="CJD27"/>
      <c r="CJE27"/>
      <c r="CJF27"/>
      <c r="CJG27"/>
      <c r="CJH27"/>
      <c r="CJI27"/>
      <c r="CJJ27"/>
      <c r="CJK27"/>
      <c r="CJL27"/>
      <c r="CJM27"/>
      <c r="CJN27"/>
      <c r="CJO27"/>
      <c r="CJP27"/>
      <c r="CJQ27"/>
      <c r="CJR27"/>
      <c r="CJS27"/>
      <c r="CJT27"/>
      <c r="CJU27"/>
      <c r="CJV27"/>
      <c r="CJW27"/>
      <c r="CJX27"/>
      <c r="CJY27"/>
      <c r="CJZ27"/>
      <c r="CKA27"/>
      <c r="CKB27"/>
      <c r="CKC27"/>
      <c r="CKD27"/>
      <c r="CKE27"/>
      <c r="CKF27"/>
      <c r="CKG27"/>
      <c r="CKH27"/>
      <c r="CKI27"/>
      <c r="CKJ27"/>
      <c r="CKK27"/>
      <c r="CKL27"/>
      <c r="CKM27"/>
      <c r="CKN27"/>
      <c r="CKO27"/>
      <c r="CKP27"/>
      <c r="CKQ27"/>
      <c r="CKR27"/>
      <c r="CKS27"/>
      <c r="CKT27"/>
      <c r="CKU27"/>
      <c r="CKV27"/>
      <c r="CKW27"/>
      <c r="CKX27"/>
      <c r="CKY27"/>
      <c r="CKZ27"/>
      <c r="CLA27"/>
      <c r="CLB27"/>
      <c r="CLC27"/>
      <c r="CLD27"/>
      <c r="CLE27"/>
      <c r="CLF27"/>
      <c r="CLG27"/>
      <c r="CLH27"/>
      <c r="CLI27"/>
      <c r="CLJ27"/>
      <c r="CLK27"/>
      <c r="CLL27"/>
      <c r="CLM27"/>
      <c r="CLN27"/>
      <c r="CLO27"/>
      <c r="CLP27"/>
      <c r="CLQ27"/>
      <c r="CLR27"/>
      <c r="CLS27"/>
      <c r="CLT27"/>
      <c r="CLU27"/>
      <c r="CLV27"/>
      <c r="CLW27"/>
      <c r="CLX27"/>
      <c r="CLY27"/>
      <c r="CLZ27"/>
      <c r="CMA27"/>
      <c r="CMB27"/>
      <c r="CMC27"/>
      <c r="CMD27"/>
      <c r="CME27"/>
      <c r="CMF27"/>
      <c r="CMG27"/>
      <c r="CMH27"/>
      <c r="CMI27"/>
      <c r="CMJ27"/>
      <c r="CMK27"/>
      <c r="CML27"/>
      <c r="CMM27"/>
      <c r="CMN27"/>
      <c r="CMO27"/>
      <c r="CMP27"/>
      <c r="CMQ27"/>
      <c r="CMR27"/>
      <c r="CMS27"/>
      <c r="CMT27"/>
      <c r="CMU27"/>
      <c r="CMV27"/>
      <c r="CMW27"/>
      <c r="CMX27"/>
      <c r="CMY27"/>
      <c r="CMZ27"/>
      <c r="CNA27"/>
      <c r="CNB27"/>
      <c r="CNC27"/>
      <c r="CND27"/>
      <c r="CNE27"/>
      <c r="CNF27"/>
      <c r="CNG27"/>
      <c r="CNH27"/>
      <c r="CNI27"/>
      <c r="CNJ27"/>
      <c r="CNK27"/>
      <c r="CNL27"/>
      <c r="CNM27"/>
      <c r="CNN27"/>
      <c r="CNO27"/>
      <c r="CNP27"/>
      <c r="CNQ27"/>
      <c r="CNR27"/>
      <c r="CNS27"/>
      <c r="CNT27"/>
      <c r="CNU27"/>
      <c r="CNV27"/>
      <c r="CNW27"/>
      <c r="CNX27"/>
      <c r="CNY27"/>
      <c r="CNZ27"/>
      <c r="COA27"/>
      <c r="COB27"/>
      <c r="COC27"/>
      <c r="COD27"/>
      <c r="COE27"/>
      <c r="COF27"/>
      <c r="COG27"/>
      <c r="COH27"/>
      <c r="COI27"/>
      <c r="COJ27"/>
      <c r="COK27"/>
      <c r="COL27"/>
      <c r="COM27"/>
      <c r="CON27"/>
      <c r="COO27"/>
      <c r="COP27"/>
      <c r="COQ27"/>
      <c r="COR27"/>
      <c r="COS27"/>
      <c r="COT27"/>
      <c r="COU27"/>
      <c r="COV27"/>
      <c r="COW27"/>
      <c r="COX27"/>
      <c r="COY27"/>
      <c r="COZ27"/>
      <c r="CPA27"/>
      <c r="CPB27"/>
      <c r="CPC27"/>
      <c r="CPD27"/>
      <c r="CPE27"/>
      <c r="CPF27"/>
      <c r="CPG27"/>
      <c r="CPH27"/>
      <c r="CPI27"/>
      <c r="CPJ27"/>
      <c r="CPK27"/>
      <c r="CPL27"/>
      <c r="CPM27"/>
      <c r="CPN27"/>
      <c r="CPO27"/>
      <c r="CPP27"/>
      <c r="CPQ27"/>
      <c r="CPR27"/>
      <c r="CPS27"/>
      <c r="CPT27"/>
      <c r="CPU27"/>
      <c r="CPV27"/>
      <c r="CPW27"/>
      <c r="CPX27"/>
      <c r="CPY27"/>
      <c r="CPZ27"/>
      <c r="CQA27"/>
      <c r="CQB27"/>
      <c r="CQC27"/>
      <c r="CQD27"/>
      <c r="CQE27"/>
      <c r="CQF27"/>
      <c r="CQG27"/>
      <c r="CQH27"/>
      <c r="CQI27"/>
      <c r="CQJ27"/>
      <c r="CQK27"/>
      <c r="CQL27"/>
      <c r="CQM27"/>
      <c r="CQN27"/>
      <c r="CQO27"/>
      <c r="CQP27"/>
      <c r="CQQ27"/>
      <c r="CQR27"/>
      <c r="CQS27"/>
      <c r="CQT27"/>
      <c r="CQU27"/>
      <c r="CQV27"/>
      <c r="CQW27"/>
      <c r="CQX27"/>
      <c r="CQY27"/>
      <c r="CQZ27"/>
      <c r="CRA27"/>
      <c r="CRB27"/>
      <c r="CRC27"/>
      <c r="CRD27"/>
      <c r="CRE27"/>
      <c r="CRF27"/>
      <c r="CRG27"/>
      <c r="CRH27"/>
      <c r="CRI27"/>
      <c r="CRJ27"/>
      <c r="CRK27"/>
      <c r="CRL27"/>
      <c r="CRM27"/>
      <c r="CRN27"/>
      <c r="CRO27"/>
      <c r="CRP27"/>
      <c r="CRQ27"/>
      <c r="CRR27"/>
      <c r="CRS27"/>
      <c r="CRT27"/>
      <c r="CRU27"/>
      <c r="CRV27"/>
      <c r="CRW27"/>
      <c r="CRX27"/>
      <c r="CRY27"/>
      <c r="CRZ27"/>
      <c r="CSA27"/>
      <c r="CSB27"/>
      <c r="CSC27"/>
      <c r="CSD27"/>
      <c r="CSE27"/>
      <c r="CSF27"/>
      <c r="CSG27"/>
      <c r="CSH27"/>
      <c r="CSI27"/>
      <c r="CSJ27"/>
      <c r="CSK27"/>
      <c r="CSL27"/>
      <c r="CSM27"/>
      <c r="CSN27"/>
      <c r="CSO27"/>
      <c r="CSP27"/>
      <c r="CSQ27"/>
      <c r="CSR27"/>
      <c r="CSS27"/>
      <c r="CST27"/>
      <c r="CSU27"/>
      <c r="CSV27"/>
      <c r="CSW27"/>
      <c r="CSX27"/>
      <c r="CSY27"/>
      <c r="CSZ27"/>
      <c r="CTA27"/>
      <c r="CTB27"/>
      <c r="CTC27"/>
      <c r="CTD27"/>
      <c r="CTE27"/>
      <c r="CTF27"/>
      <c r="CTG27"/>
      <c r="CTH27"/>
      <c r="CTI27"/>
      <c r="CTJ27"/>
      <c r="CTK27"/>
      <c r="CTL27"/>
      <c r="CTM27"/>
      <c r="CTN27"/>
      <c r="CTO27"/>
      <c r="CTP27"/>
      <c r="CTQ27"/>
      <c r="CTR27"/>
      <c r="CTS27"/>
      <c r="CTT27"/>
      <c r="CTU27"/>
      <c r="CTV27"/>
      <c r="CTW27"/>
      <c r="CTX27"/>
      <c r="CTY27"/>
      <c r="CTZ27"/>
      <c r="CUA27"/>
      <c r="CUB27"/>
      <c r="CUC27"/>
      <c r="CUD27"/>
      <c r="CUE27"/>
      <c r="CUF27"/>
      <c r="CUG27"/>
      <c r="CUH27"/>
      <c r="CUI27"/>
      <c r="CUJ27"/>
      <c r="CUK27"/>
      <c r="CUL27"/>
      <c r="CUM27"/>
      <c r="CUN27"/>
      <c r="CUO27"/>
      <c r="CUP27"/>
      <c r="CUQ27"/>
      <c r="CUR27"/>
      <c r="CUS27"/>
      <c r="CUT27"/>
      <c r="CUU27"/>
      <c r="CUV27"/>
      <c r="CUW27"/>
      <c r="CUX27"/>
      <c r="CUY27"/>
      <c r="CUZ27"/>
      <c r="CVA27"/>
      <c r="CVB27"/>
      <c r="CVC27"/>
      <c r="CVD27"/>
      <c r="CVE27"/>
      <c r="CVF27"/>
      <c r="CVG27"/>
      <c r="CVH27"/>
      <c r="CVI27"/>
      <c r="CVJ27"/>
      <c r="CVK27"/>
      <c r="CVL27"/>
      <c r="CVM27"/>
      <c r="CVN27"/>
      <c r="CVO27"/>
      <c r="CVP27"/>
      <c r="CVQ27"/>
      <c r="CVR27"/>
      <c r="CVS27"/>
      <c r="CVT27"/>
      <c r="CVU27"/>
      <c r="CVV27"/>
      <c r="CVW27"/>
      <c r="CVX27"/>
      <c r="CVY27"/>
      <c r="CVZ27"/>
      <c r="CWA27"/>
      <c r="CWB27"/>
      <c r="CWC27"/>
      <c r="CWD27"/>
      <c r="CWE27"/>
      <c r="CWF27"/>
      <c r="CWG27"/>
      <c r="CWH27"/>
      <c r="CWI27"/>
      <c r="CWJ27"/>
      <c r="CWK27"/>
      <c r="CWL27"/>
      <c r="CWM27"/>
      <c r="CWN27"/>
      <c r="CWO27"/>
      <c r="CWP27"/>
      <c r="CWQ27"/>
      <c r="CWR27"/>
      <c r="CWS27"/>
      <c r="CWT27"/>
      <c r="CWU27"/>
      <c r="CWV27"/>
      <c r="CWW27"/>
      <c r="CWX27"/>
      <c r="CWY27"/>
      <c r="CWZ27"/>
      <c r="CXA27"/>
      <c r="CXB27"/>
      <c r="CXC27"/>
      <c r="CXD27"/>
      <c r="CXE27"/>
      <c r="CXF27"/>
      <c r="CXG27"/>
      <c r="CXH27"/>
      <c r="CXI27"/>
      <c r="CXJ27"/>
      <c r="CXK27"/>
      <c r="CXL27"/>
      <c r="CXM27"/>
      <c r="CXN27"/>
      <c r="CXO27"/>
      <c r="CXP27"/>
      <c r="CXQ27"/>
      <c r="CXR27"/>
      <c r="CXS27"/>
      <c r="CXT27"/>
      <c r="CXU27"/>
      <c r="CXV27"/>
      <c r="CXW27"/>
      <c r="CXX27"/>
      <c r="CXY27"/>
      <c r="CXZ27"/>
      <c r="CYA27"/>
      <c r="CYB27"/>
      <c r="CYC27"/>
      <c r="CYD27"/>
      <c r="CYE27"/>
      <c r="CYF27"/>
      <c r="CYG27"/>
      <c r="CYH27"/>
      <c r="CYI27"/>
      <c r="CYJ27"/>
      <c r="CYK27"/>
      <c r="CYL27"/>
      <c r="CYM27"/>
      <c r="CYN27"/>
      <c r="CYO27"/>
      <c r="CYP27"/>
      <c r="CYQ27"/>
      <c r="CYR27"/>
      <c r="CYS27"/>
      <c r="CYT27"/>
      <c r="CYU27"/>
      <c r="CYV27"/>
      <c r="CYW27"/>
      <c r="CYX27"/>
      <c r="CYY27"/>
      <c r="CYZ27"/>
      <c r="CZA27"/>
      <c r="CZB27"/>
      <c r="CZC27"/>
      <c r="CZD27"/>
      <c r="CZE27"/>
      <c r="CZF27"/>
      <c r="CZG27"/>
      <c r="CZH27"/>
      <c r="CZI27"/>
      <c r="CZJ27"/>
      <c r="CZK27"/>
      <c r="CZL27"/>
      <c r="CZM27"/>
      <c r="CZN27"/>
      <c r="CZO27"/>
      <c r="CZP27"/>
      <c r="CZQ27"/>
      <c r="CZR27"/>
      <c r="CZS27"/>
      <c r="CZT27"/>
      <c r="CZU27"/>
      <c r="CZV27"/>
      <c r="CZW27"/>
      <c r="CZX27"/>
      <c r="CZY27"/>
      <c r="CZZ27"/>
      <c r="DAA27"/>
      <c r="DAB27"/>
      <c r="DAC27"/>
      <c r="DAD27"/>
      <c r="DAE27"/>
      <c r="DAF27"/>
      <c r="DAG27"/>
      <c r="DAH27"/>
      <c r="DAI27"/>
      <c r="DAJ27"/>
      <c r="DAK27"/>
      <c r="DAL27"/>
      <c r="DAM27"/>
      <c r="DAN27"/>
      <c r="DAO27"/>
      <c r="DAP27"/>
      <c r="DAQ27"/>
      <c r="DAR27"/>
      <c r="DAS27"/>
      <c r="DAT27"/>
      <c r="DAU27"/>
      <c r="DAV27"/>
      <c r="DAW27"/>
      <c r="DAX27"/>
      <c r="DAY27"/>
      <c r="DAZ27"/>
      <c r="DBA27"/>
      <c r="DBB27"/>
      <c r="DBC27"/>
      <c r="DBD27"/>
      <c r="DBE27"/>
      <c r="DBF27"/>
      <c r="DBG27"/>
      <c r="DBH27"/>
      <c r="DBI27"/>
      <c r="DBJ27"/>
      <c r="DBK27"/>
      <c r="DBL27"/>
      <c r="DBM27"/>
      <c r="DBN27"/>
      <c r="DBO27"/>
      <c r="DBP27"/>
      <c r="DBQ27"/>
      <c r="DBR27"/>
      <c r="DBS27"/>
      <c r="DBT27"/>
      <c r="DBU27"/>
      <c r="DBV27"/>
      <c r="DBW27"/>
      <c r="DBX27"/>
      <c r="DBY27"/>
      <c r="DBZ27"/>
      <c r="DCA27"/>
      <c r="DCB27"/>
      <c r="DCC27"/>
      <c r="DCD27"/>
      <c r="DCE27"/>
      <c r="DCF27"/>
      <c r="DCG27"/>
      <c r="DCH27"/>
      <c r="DCI27"/>
      <c r="DCJ27"/>
      <c r="DCK27"/>
      <c r="DCL27"/>
      <c r="DCM27"/>
      <c r="DCN27"/>
      <c r="DCO27"/>
      <c r="DCP27"/>
      <c r="DCQ27"/>
      <c r="DCR27"/>
      <c r="DCS27"/>
      <c r="DCT27"/>
      <c r="DCU27"/>
      <c r="DCV27"/>
      <c r="DCW27"/>
      <c r="DCX27"/>
      <c r="DCY27"/>
      <c r="DCZ27"/>
      <c r="DDA27"/>
      <c r="DDB27"/>
      <c r="DDC27"/>
      <c r="DDD27"/>
      <c r="DDE27"/>
      <c r="DDF27"/>
      <c r="DDG27"/>
      <c r="DDH27"/>
      <c r="DDI27"/>
      <c r="DDJ27"/>
      <c r="DDK27"/>
      <c r="DDL27"/>
      <c r="DDM27"/>
      <c r="DDN27"/>
      <c r="DDO27"/>
      <c r="DDP27"/>
      <c r="DDQ27"/>
      <c r="DDR27"/>
      <c r="DDS27"/>
      <c r="DDT27"/>
      <c r="DDU27"/>
      <c r="DDV27"/>
      <c r="DDW27"/>
      <c r="DDX27"/>
      <c r="DDY27"/>
      <c r="DDZ27"/>
      <c r="DEA27"/>
      <c r="DEB27"/>
      <c r="DEC27"/>
      <c r="DED27"/>
      <c r="DEE27"/>
      <c r="DEF27"/>
      <c r="DEG27"/>
      <c r="DEH27"/>
      <c r="DEI27"/>
      <c r="DEJ27"/>
      <c r="DEK27"/>
      <c r="DEL27"/>
      <c r="DEM27"/>
      <c r="DEN27"/>
      <c r="DEO27"/>
      <c r="DEP27"/>
      <c r="DEQ27"/>
      <c r="DER27"/>
      <c r="DES27"/>
      <c r="DET27"/>
      <c r="DEU27"/>
      <c r="DEV27"/>
      <c r="DEW27"/>
      <c r="DEX27"/>
      <c r="DEY27"/>
      <c r="DEZ27"/>
      <c r="DFA27"/>
      <c r="DFB27"/>
      <c r="DFC27"/>
      <c r="DFD27"/>
      <c r="DFE27"/>
      <c r="DFF27"/>
      <c r="DFG27"/>
      <c r="DFH27"/>
      <c r="DFI27"/>
      <c r="DFJ27"/>
      <c r="DFK27"/>
      <c r="DFL27"/>
      <c r="DFM27"/>
      <c r="DFN27"/>
      <c r="DFO27"/>
      <c r="DFP27"/>
      <c r="DFQ27"/>
      <c r="DFR27"/>
      <c r="DFS27"/>
      <c r="DFT27"/>
      <c r="DFU27"/>
      <c r="DFV27"/>
      <c r="DFW27"/>
      <c r="DFX27"/>
      <c r="DFY27"/>
      <c r="DFZ27"/>
      <c r="DGA27"/>
      <c r="DGB27"/>
      <c r="DGC27"/>
      <c r="DGD27"/>
      <c r="DGE27"/>
      <c r="DGF27"/>
      <c r="DGG27"/>
      <c r="DGH27"/>
      <c r="DGI27"/>
      <c r="DGJ27"/>
      <c r="DGK27"/>
      <c r="DGL27"/>
      <c r="DGM27"/>
      <c r="DGN27"/>
      <c r="DGO27"/>
      <c r="DGP27"/>
      <c r="DGQ27"/>
      <c r="DGR27"/>
      <c r="DGS27"/>
      <c r="DGT27"/>
      <c r="DGU27"/>
      <c r="DGV27"/>
      <c r="DGW27"/>
      <c r="DGX27"/>
      <c r="DGY27"/>
      <c r="DGZ27"/>
      <c r="DHA27"/>
      <c r="DHB27"/>
      <c r="DHC27"/>
      <c r="DHD27"/>
      <c r="DHE27"/>
      <c r="DHF27"/>
      <c r="DHG27"/>
      <c r="DHH27"/>
      <c r="DHI27"/>
      <c r="DHJ27"/>
      <c r="DHK27"/>
      <c r="DHL27"/>
      <c r="DHM27"/>
      <c r="DHN27"/>
      <c r="DHO27"/>
      <c r="DHP27"/>
      <c r="DHQ27"/>
      <c r="DHR27"/>
      <c r="DHS27"/>
      <c r="DHT27"/>
      <c r="DHU27"/>
      <c r="DHV27"/>
      <c r="DHW27"/>
      <c r="DHX27"/>
      <c r="DHY27"/>
      <c r="DHZ27"/>
      <c r="DIA27"/>
      <c r="DIB27"/>
      <c r="DIC27"/>
      <c r="DID27"/>
      <c r="DIE27"/>
      <c r="DIF27"/>
      <c r="DIG27"/>
      <c r="DIH27"/>
      <c r="DII27"/>
      <c r="DIJ27"/>
      <c r="DIK27"/>
      <c r="DIL27"/>
      <c r="DIM27"/>
      <c r="DIN27"/>
      <c r="DIO27"/>
      <c r="DIP27"/>
      <c r="DIQ27"/>
      <c r="DIR27"/>
      <c r="DIS27"/>
      <c r="DIT27"/>
      <c r="DIU27"/>
      <c r="DIV27"/>
      <c r="DIW27"/>
      <c r="DIX27"/>
      <c r="DIY27"/>
      <c r="DIZ27"/>
      <c r="DJA27"/>
      <c r="DJB27"/>
      <c r="DJC27"/>
      <c r="DJD27"/>
      <c r="DJE27"/>
      <c r="DJF27"/>
      <c r="DJG27"/>
      <c r="DJH27"/>
      <c r="DJI27"/>
      <c r="DJJ27"/>
      <c r="DJK27"/>
      <c r="DJL27"/>
      <c r="DJM27"/>
      <c r="DJN27"/>
      <c r="DJO27"/>
      <c r="DJP27"/>
      <c r="DJQ27"/>
      <c r="DJR27"/>
      <c r="DJS27"/>
      <c r="DJT27"/>
      <c r="DJU27"/>
      <c r="DJV27"/>
      <c r="DJW27"/>
      <c r="DJX27"/>
      <c r="DJY27"/>
      <c r="DJZ27"/>
      <c r="DKA27"/>
      <c r="DKB27"/>
      <c r="DKC27"/>
      <c r="DKD27"/>
      <c r="DKE27"/>
      <c r="DKF27"/>
      <c r="DKG27"/>
      <c r="DKH27"/>
      <c r="DKI27"/>
      <c r="DKJ27"/>
      <c r="DKK27"/>
      <c r="DKL27"/>
      <c r="DKM27"/>
      <c r="DKN27"/>
      <c r="DKO27"/>
      <c r="DKP27"/>
      <c r="DKQ27"/>
      <c r="DKR27"/>
      <c r="DKS27"/>
      <c r="DKT27"/>
      <c r="DKU27"/>
      <c r="DKV27"/>
      <c r="DKW27"/>
      <c r="DKX27"/>
      <c r="DKY27"/>
      <c r="DKZ27"/>
      <c r="DLA27"/>
      <c r="DLB27"/>
      <c r="DLC27"/>
      <c r="DLD27"/>
      <c r="DLE27"/>
      <c r="DLF27"/>
      <c r="DLG27"/>
      <c r="DLH27"/>
      <c r="DLI27"/>
      <c r="DLJ27"/>
      <c r="DLK27"/>
      <c r="DLL27"/>
      <c r="DLM27"/>
      <c r="DLN27"/>
      <c r="DLO27"/>
      <c r="DLP27"/>
      <c r="DLQ27"/>
      <c r="DLR27"/>
      <c r="DLS27"/>
      <c r="DLT27"/>
      <c r="DLU27"/>
      <c r="DLV27"/>
      <c r="DLW27"/>
      <c r="DLX27"/>
      <c r="DLY27"/>
      <c r="DLZ27"/>
      <c r="DMA27"/>
      <c r="DMB27"/>
      <c r="DMC27"/>
      <c r="DMD27"/>
      <c r="DME27"/>
      <c r="DMF27"/>
      <c r="DMG27"/>
      <c r="DMH27"/>
      <c r="DMI27"/>
      <c r="DMJ27"/>
      <c r="DMK27"/>
      <c r="DML27"/>
      <c r="DMM27"/>
      <c r="DMN27"/>
      <c r="DMO27"/>
      <c r="DMP27"/>
      <c r="DMQ27"/>
      <c r="DMR27"/>
      <c r="DMS27"/>
      <c r="DMT27"/>
      <c r="DMU27"/>
      <c r="DMV27"/>
      <c r="DMW27"/>
      <c r="DMX27"/>
      <c r="DMY27"/>
      <c r="DMZ27"/>
      <c r="DNA27"/>
      <c r="DNB27"/>
      <c r="DNC27"/>
      <c r="DND27"/>
      <c r="DNE27"/>
      <c r="DNF27"/>
      <c r="DNG27"/>
      <c r="DNH27"/>
      <c r="DNI27"/>
      <c r="DNJ27"/>
      <c r="DNK27"/>
      <c r="DNL27"/>
      <c r="DNM27"/>
      <c r="DNN27"/>
      <c r="DNO27"/>
      <c r="DNP27"/>
      <c r="DNQ27"/>
      <c r="DNR27"/>
      <c r="DNS27"/>
      <c r="DNT27"/>
      <c r="DNU27"/>
      <c r="DNV27"/>
      <c r="DNW27"/>
      <c r="DNX27"/>
      <c r="DNY27"/>
      <c r="DNZ27"/>
      <c r="DOA27"/>
      <c r="DOB27"/>
      <c r="DOC27"/>
      <c r="DOD27"/>
      <c r="DOE27"/>
      <c r="DOF27"/>
      <c r="DOG27"/>
      <c r="DOH27"/>
      <c r="DOI27"/>
      <c r="DOJ27"/>
      <c r="DOK27"/>
      <c r="DOL27"/>
      <c r="DOM27"/>
      <c r="DON27"/>
      <c r="DOO27"/>
      <c r="DOP27"/>
      <c r="DOQ27"/>
      <c r="DOR27"/>
      <c r="DOS27"/>
      <c r="DOT27"/>
      <c r="DOU27"/>
      <c r="DOV27"/>
      <c r="DOW27"/>
      <c r="DOX27"/>
      <c r="DOY27"/>
      <c r="DOZ27"/>
      <c r="DPA27"/>
      <c r="DPB27"/>
      <c r="DPC27"/>
      <c r="DPD27"/>
      <c r="DPE27"/>
      <c r="DPF27"/>
      <c r="DPG27"/>
      <c r="DPH27"/>
      <c r="DPI27"/>
      <c r="DPJ27"/>
      <c r="DPK27"/>
      <c r="DPL27"/>
      <c r="DPM27"/>
      <c r="DPN27"/>
      <c r="DPO27"/>
      <c r="DPP27"/>
      <c r="DPQ27"/>
      <c r="DPR27"/>
      <c r="DPS27"/>
      <c r="DPT27"/>
      <c r="DPU27"/>
      <c r="DPV27"/>
      <c r="DPW27"/>
      <c r="DPX27"/>
      <c r="DPY27"/>
      <c r="DPZ27"/>
      <c r="DQA27"/>
      <c r="DQB27"/>
      <c r="DQC27"/>
      <c r="DQD27"/>
      <c r="DQE27"/>
      <c r="DQF27"/>
      <c r="DQG27"/>
      <c r="DQH27"/>
      <c r="DQI27"/>
      <c r="DQJ27"/>
      <c r="DQK27"/>
      <c r="DQL27"/>
      <c r="DQM27"/>
      <c r="DQN27"/>
      <c r="DQO27"/>
      <c r="DQP27"/>
      <c r="DQQ27"/>
      <c r="DQR27"/>
      <c r="DQS27"/>
      <c r="DQT27"/>
      <c r="DQU27"/>
      <c r="DQV27"/>
      <c r="DQW27"/>
      <c r="DQX27"/>
      <c r="DQY27"/>
      <c r="DQZ27"/>
      <c r="DRA27"/>
      <c r="DRB27"/>
      <c r="DRC27"/>
      <c r="DRD27"/>
      <c r="DRE27"/>
      <c r="DRF27"/>
      <c r="DRG27"/>
      <c r="DRH27"/>
      <c r="DRI27"/>
      <c r="DRJ27"/>
      <c r="DRK27"/>
      <c r="DRL27"/>
      <c r="DRM27"/>
      <c r="DRN27"/>
      <c r="DRO27"/>
      <c r="DRP27"/>
      <c r="DRQ27"/>
      <c r="DRR27"/>
      <c r="DRS27"/>
      <c r="DRT27"/>
      <c r="DRU27"/>
      <c r="DRV27"/>
      <c r="DRW27"/>
      <c r="DRX27"/>
      <c r="DRY27"/>
      <c r="DRZ27"/>
      <c r="DSA27"/>
      <c r="DSB27"/>
      <c r="DSC27"/>
      <c r="DSD27"/>
      <c r="DSE27"/>
      <c r="DSF27"/>
      <c r="DSG27"/>
      <c r="DSH27"/>
      <c r="DSI27"/>
      <c r="DSJ27"/>
      <c r="DSK27"/>
      <c r="DSL27"/>
      <c r="DSM27"/>
      <c r="DSN27"/>
      <c r="DSO27"/>
      <c r="DSP27"/>
      <c r="DSQ27"/>
      <c r="DSR27"/>
      <c r="DSS27"/>
      <c r="DST27"/>
      <c r="DSU27"/>
      <c r="DSV27"/>
      <c r="DSW27"/>
      <c r="DSX27"/>
      <c r="DSY27"/>
      <c r="DSZ27"/>
      <c r="DTA27"/>
      <c r="DTB27"/>
      <c r="DTC27"/>
      <c r="DTD27"/>
      <c r="DTE27"/>
      <c r="DTF27"/>
      <c r="DTG27"/>
      <c r="DTH27"/>
      <c r="DTI27"/>
      <c r="DTJ27"/>
      <c r="DTK27"/>
      <c r="DTL27"/>
      <c r="DTM27"/>
      <c r="DTN27"/>
      <c r="DTO27"/>
      <c r="DTP27"/>
      <c r="DTQ27"/>
      <c r="DTR27"/>
      <c r="DTS27"/>
      <c r="DTT27"/>
      <c r="DTU27"/>
      <c r="DTV27"/>
      <c r="DTW27"/>
      <c r="DTX27"/>
      <c r="DTY27"/>
      <c r="DTZ27"/>
      <c r="DUA27"/>
      <c r="DUB27"/>
      <c r="DUC27"/>
      <c r="DUD27"/>
      <c r="DUE27"/>
      <c r="DUF27"/>
      <c r="DUG27"/>
      <c r="DUH27"/>
      <c r="DUI27"/>
      <c r="DUJ27"/>
      <c r="DUK27"/>
      <c r="DUL27"/>
      <c r="DUM27"/>
      <c r="DUN27"/>
      <c r="DUO27"/>
      <c r="DUP27"/>
      <c r="DUQ27"/>
      <c r="DUR27"/>
      <c r="DUS27"/>
      <c r="DUT27"/>
      <c r="DUU27"/>
      <c r="DUV27"/>
      <c r="DUW27"/>
      <c r="DUX27"/>
      <c r="DUY27"/>
      <c r="DUZ27"/>
      <c r="DVA27"/>
      <c r="DVB27"/>
      <c r="DVC27"/>
      <c r="DVD27"/>
      <c r="DVE27"/>
      <c r="DVF27"/>
      <c r="DVG27"/>
      <c r="DVH27"/>
      <c r="DVI27"/>
      <c r="DVJ27"/>
      <c r="DVK27"/>
      <c r="DVL27"/>
      <c r="DVM27"/>
      <c r="DVN27"/>
      <c r="DVO27"/>
      <c r="DVP27"/>
      <c r="DVQ27"/>
      <c r="DVR27"/>
      <c r="DVS27"/>
      <c r="DVT27"/>
      <c r="DVU27"/>
      <c r="DVV27"/>
      <c r="DVW27"/>
      <c r="DVX27"/>
      <c r="DVY27"/>
      <c r="DVZ27"/>
      <c r="DWA27"/>
      <c r="DWB27"/>
      <c r="DWC27"/>
      <c r="DWD27"/>
      <c r="DWE27"/>
      <c r="DWF27"/>
      <c r="DWG27"/>
      <c r="DWH27"/>
      <c r="DWI27"/>
      <c r="DWJ27"/>
      <c r="DWK27"/>
      <c r="DWL27"/>
      <c r="DWM27"/>
      <c r="DWN27"/>
      <c r="DWO27"/>
      <c r="DWP27"/>
      <c r="DWQ27"/>
      <c r="DWR27"/>
      <c r="DWS27"/>
      <c r="DWT27"/>
      <c r="DWU27"/>
      <c r="DWV27"/>
      <c r="DWW27"/>
      <c r="DWX27"/>
      <c r="DWY27"/>
      <c r="DWZ27"/>
      <c r="DXA27"/>
      <c r="DXB27"/>
      <c r="DXC27"/>
      <c r="DXD27"/>
      <c r="DXE27"/>
      <c r="DXF27"/>
      <c r="DXG27"/>
      <c r="DXH27"/>
      <c r="DXI27"/>
      <c r="DXJ27"/>
      <c r="DXK27"/>
      <c r="DXL27"/>
      <c r="DXM27"/>
      <c r="DXN27"/>
      <c r="DXO27"/>
      <c r="DXP27"/>
      <c r="DXQ27"/>
      <c r="DXR27"/>
      <c r="DXS27"/>
      <c r="DXT27"/>
      <c r="DXU27"/>
      <c r="DXV27"/>
      <c r="DXW27"/>
      <c r="DXX27"/>
      <c r="DXY27"/>
      <c r="DXZ27"/>
      <c r="DYA27"/>
      <c r="DYB27"/>
      <c r="DYC27"/>
      <c r="DYD27"/>
      <c r="DYE27"/>
      <c r="DYF27"/>
      <c r="DYG27"/>
      <c r="DYH27"/>
      <c r="DYI27"/>
      <c r="DYJ27"/>
      <c r="DYK27"/>
      <c r="DYL27"/>
      <c r="DYM27"/>
      <c r="DYN27"/>
      <c r="DYO27"/>
      <c r="DYP27"/>
      <c r="DYQ27"/>
      <c r="DYR27"/>
      <c r="DYS27"/>
      <c r="DYT27"/>
      <c r="DYU27"/>
      <c r="DYV27"/>
      <c r="DYW27"/>
      <c r="DYX27"/>
      <c r="DYY27"/>
      <c r="DYZ27"/>
      <c r="DZA27"/>
      <c r="DZB27"/>
      <c r="DZC27"/>
      <c r="DZD27"/>
      <c r="DZE27"/>
      <c r="DZF27"/>
      <c r="DZG27"/>
      <c r="DZH27"/>
      <c r="DZI27"/>
      <c r="DZJ27"/>
      <c r="DZK27"/>
      <c r="DZL27"/>
      <c r="DZM27"/>
      <c r="DZN27"/>
      <c r="DZO27"/>
      <c r="DZP27"/>
      <c r="DZQ27"/>
      <c r="DZR27"/>
      <c r="DZS27"/>
      <c r="DZT27"/>
      <c r="DZU27"/>
      <c r="DZV27"/>
      <c r="DZW27"/>
      <c r="DZX27"/>
      <c r="DZY27"/>
      <c r="DZZ27"/>
      <c r="EAA27"/>
      <c r="EAB27"/>
      <c r="EAC27"/>
      <c r="EAD27"/>
      <c r="EAE27"/>
      <c r="EAF27"/>
      <c r="EAG27"/>
      <c r="EAH27"/>
      <c r="EAI27"/>
      <c r="EAJ27"/>
      <c r="EAK27"/>
      <c r="EAL27"/>
      <c r="EAM27"/>
      <c r="EAN27"/>
      <c r="EAO27"/>
      <c r="EAP27"/>
      <c r="EAQ27"/>
      <c r="EAR27"/>
      <c r="EAS27"/>
      <c r="EAT27"/>
      <c r="EAU27"/>
      <c r="EAV27"/>
      <c r="EAW27"/>
      <c r="EAX27"/>
      <c r="EAY27"/>
      <c r="EAZ27"/>
      <c r="EBA27"/>
      <c r="EBB27"/>
      <c r="EBC27"/>
      <c r="EBD27"/>
      <c r="EBE27"/>
      <c r="EBF27"/>
      <c r="EBG27"/>
      <c r="EBH27"/>
      <c r="EBI27"/>
      <c r="EBJ27"/>
      <c r="EBK27"/>
      <c r="EBL27"/>
      <c r="EBM27"/>
      <c r="EBN27"/>
      <c r="EBO27"/>
      <c r="EBP27"/>
      <c r="EBQ27"/>
      <c r="EBR27"/>
      <c r="EBS27"/>
      <c r="EBT27"/>
      <c r="EBU27"/>
      <c r="EBV27"/>
      <c r="EBW27"/>
      <c r="EBX27"/>
      <c r="EBY27"/>
      <c r="EBZ27"/>
      <c r="ECA27"/>
      <c r="ECB27"/>
      <c r="ECC27"/>
      <c r="ECD27"/>
      <c r="ECE27"/>
      <c r="ECF27"/>
      <c r="ECG27"/>
      <c r="ECH27"/>
      <c r="ECI27"/>
      <c r="ECJ27"/>
      <c r="ECK27"/>
      <c r="ECL27"/>
      <c r="ECM27"/>
      <c r="ECN27"/>
      <c r="ECO27"/>
      <c r="ECP27"/>
      <c r="ECQ27"/>
      <c r="ECR27"/>
      <c r="ECS27"/>
      <c r="ECT27"/>
      <c r="ECU27"/>
      <c r="ECV27"/>
      <c r="ECW27"/>
      <c r="ECX27"/>
      <c r="ECY27"/>
      <c r="ECZ27"/>
      <c r="EDA27"/>
      <c r="EDB27"/>
      <c r="EDC27"/>
      <c r="EDD27"/>
      <c r="EDE27"/>
      <c r="EDF27"/>
      <c r="EDG27"/>
      <c r="EDH27"/>
      <c r="EDI27"/>
      <c r="EDJ27"/>
      <c r="EDK27"/>
      <c r="EDL27"/>
      <c r="EDM27"/>
      <c r="EDN27"/>
      <c r="EDO27"/>
      <c r="EDP27"/>
      <c r="EDQ27"/>
      <c r="EDR27"/>
      <c r="EDS27"/>
      <c r="EDT27"/>
      <c r="EDU27"/>
      <c r="EDV27"/>
      <c r="EDW27"/>
      <c r="EDX27"/>
      <c r="EDY27"/>
      <c r="EDZ27"/>
      <c r="EEA27"/>
      <c r="EEB27"/>
      <c r="EEC27"/>
      <c r="EED27"/>
      <c r="EEE27"/>
      <c r="EEF27"/>
      <c r="EEG27"/>
      <c r="EEH27"/>
      <c r="EEI27"/>
      <c r="EEJ27"/>
      <c r="EEK27"/>
      <c r="EEL27"/>
      <c r="EEM27"/>
      <c r="EEN27"/>
      <c r="EEO27"/>
      <c r="EEP27"/>
      <c r="EEQ27"/>
      <c r="EER27"/>
      <c r="EES27"/>
      <c r="EET27"/>
      <c r="EEU27"/>
      <c r="EEV27"/>
      <c r="EEW27"/>
      <c r="EEX27"/>
      <c r="EEY27"/>
      <c r="EEZ27"/>
      <c r="EFA27"/>
      <c r="EFB27"/>
      <c r="EFC27"/>
      <c r="EFD27"/>
      <c r="EFE27"/>
      <c r="EFF27"/>
      <c r="EFG27"/>
      <c r="EFH27"/>
      <c r="EFI27"/>
      <c r="EFJ27"/>
      <c r="EFK27"/>
      <c r="EFL27"/>
      <c r="EFM27"/>
      <c r="EFN27"/>
      <c r="EFO27"/>
      <c r="EFP27"/>
      <c r="EFQ27"/>
      <c r="EFR27"/>
      <c r="EFS27"/>
      <c r="EFT27"/>
      <c r="EFU27"/>
      <c r="EFV27"/>
      <c r="EFW27"/>
      <c r="EFX27"/>
      <c r="EFY27"/>
      <c r="EFZ27"/>
      <c r="EGA27"/>
      <c r="EGB27"/>
      <c r="EGC27"/>
      <c r="EGD27"/>
      <c r="EGE27"/>
      <c r="EGF27"/>
      <c r="EGG27"/>
      <c r="EGH27"/>
      <c r="EGI27"/>
      <c r="EGJ27"/>
      <c r="EGK27"/>
      <c r="EGL27"/>
      <c r="EGM27"/>
      <c r="EGN27"/>
      <c r="EGO27"/>
      <c r="EGP27"/>
      <c r="EGQ27"/>
      <c r="EGR27"/>
      <c r="EGS27"/>
      <c r="EGT27"/>
      <c r="EGU27"/>
      <c r="EGV27"/>
      <c r="EGW27"/>
      <c r="EGX27"/>
      <c r="EGY27"/>
      <c r="EGZ27"/>
      <c r="EHA27"/>
      <c r="EHB27"/>
      <c r="EHC27"/>
      <c r="EHD27"/>
      <c r="EHE27"/>
      <c r="EHF27"/>
      <c r="EHG27"/>
      <c r="EHH27"/>
      <c r="EHI27"/>
      <c r="EHJ27"/>
      <c r="EHK27"/>
      <c r="EHL27"/>
      <c r="EHM27"/>
      <c r="EHN27"/>
      <c r="EHO27"/>
      <c r="EHP27"/>
      <c r="EHQ27"/>
      <c r="EHR27"/>
      <c r="EHS27"/>
      <c r="EHT27"/>
      <c r="EHU27"/>
      <c r="EHV27"/>
      <c r="EHW27"/>
      <c r="EHX27"/>
      <c r="EHY27"/>
      <c r="EHZ27"/>
      <c r="EIA27"/>
      <c r="EIB27"/>
      <c r="EIC27"/>
      <c r="EID27"/>
      <c r="EIE27"/>
      <c r="EIF27"/>
      <c r="EIG27"/>
      <c r="EIH27"/>
      <c r="EII27"/>
      <c r="EIJ27"/>
      <c r="EIK27"/>
      <c r="EIL27"/>
      <c r="EIM27"/>
      <c r="EIN27"/>
      <c r="EIO27"/>
      <c r="EIP27"/>
      <c r="EIQ27"/>
      <c r="EIR27"/>
      <c r="EIS27"/>
      <c r="EIT27"/>
      <c r="EIU27"/>
      <c r="EIV27"/>
      <c r="EIW27"/>
      <c r="EIX27"/>
      <c r="EIY27"/>
      <c r="EIZ27"/>
      <c r="EJA27"/>
      <c r="EJB27"/>
      <c r="EJC27"/>
      <c r="EJD27"/>
      <c r="EJE27"/>
      <c r="EJF27"/>
      <c r="EJG27"/>
      <c r="EJH27"/>
      <c r="EJI27"/>
      <c r="EJJ27"/>
      <c r="EJK27"/>
      <c r="EJL27"/>
      <c r="EJM27"/>
      <c r="EJN27"/>
      <c r="EJO27"/>
      <c r="EJP27"/>
      <c r="EJQ27"/>
      <c r="EJR27"/>
      <c r="EJS27"/>
      <c r="EJT27"/>
      <c r="EJU27"/>
      <c r="EJV27"/>
      <c r="EJW27"/>
      <c r="EJX27"/>
      <c r="EJY27"/>
      <c r="EJZ27"/>
      <c r="EKA27"/>
      <c r="EKB27"/>
      <c r="EKC27"/>
      <c r="EKD27"/>
      <c r="EKE27"/>
      <c r="EKF27"/>
      <c r="EKG27"/>
      <c r="EKH27"/>
      <c r="EKI27"/>
      <c r="EKJ27"/>
      <c r="EKK27"/>
      <c r="EKL27"/>
      <c r="EKM27"/>
      <c r="EKN27"/>
      <c r="EKO27"/>
      <c r="EKP27"/>
      <c r="EKQ27"/>
      <c r="EKR27"/>
      <c r="EKS27"/>
      <c r="EKT27"/>
      <c r="EKU27"/>
      <c r="EKV27"/>
      <c r="EKW27"/>
      <c r="EKX27"/>
      <c r="EKY27"/>
      <c r="EKZ27"/>
      <c r="ELA27"/>
      <c r="ELB27"/>
      <c r="ELC27"/>
      <c r="ELD27"/>
      <c r="ELE27"/>
      <c r="ELF27"/>
      <c r="ELG27"/>
      <c r="ELH27"/>
      <c r="ELI27"/>
      <c r="ELJ27"/>
      <c r="ELK27"/>
      <c r="ELL27"/>
      <c r="ELM27"/>
      <c r="ELN27"/>
      <c r="ELO27"/>
      <c r="ELP27"/>
      <c r="ELQ27"/>
      <c r="ELR27"/>
      <c r="ELS27"/>
      <c r="ELT27"/>
      <c r="ELU27"/>
      <c r="ELV27"/>
      <c r="ELW27"/>
      <c r="ELX27"/>
      <c r="ELY27"/>
      <c r="ELZ27"/>
      <c r="EMA27"/>
      <c r="EMB27"/>
      <c r="EMC27"/>
      <c r="EMD27"/>
      <c r="EME27"/>
      <c r="EMF27"/>
      <c r="EMG27"/>
      <c r="EMH27"/>
      <c r="EMI27"/>
      <c r="EMJ27"/>
      <c r="EMK27"/>
      <c r="EML27"/>
      <c r="EMM27"/>
      <c r="EMN27"/>
      <c r="EMO27"/>
      <c r="EMP27"/>
      <c r="EMQ27"/>
      <c r="EMR27"/>
      <c r="EMS27"/>
      <c r="EMT27"/>
      <c r="EMU27"/>
      <c r="EMV27"/>
      <c r="EMW27"/>
      <c r="EMX27"/>
      <c r="EMY27"/>
      <c r="EMZ27"/>
      <c r="ENA27"/>
      <c r="ENB27"/>
      <c r="ENC27"/>
      <c r="END27"/>
      <c r="ENE27"/>
      <c r="ENF27"/>
      <c r="ENG27"/>
      <c r="ENH27"/>
      <c r="ENI27"/>
      <c r="ENJ27"/>
      <c r="ENK27"/>
      <c r="ENL27"/>
      <c r="ENM27"/>
      <c r="ENN27"/>
      <c r="ENO27"/>
      <c r="ENP27"/>
      <c r="ENQ27"/>
      <c r="ENR27"/>
      <c r="ENS27"/>
      <c r="ENT27"/>
      <c r="ENU27"/>
      <c r="ENV27"/>
      <c r="ENW27"/>
      <c r="ENX27"/>
      <c r="ENY27"/>
      <c r="ENZ27"/>
      <c r="EOA27"/>
      <c r="EOB27"/>
      <c r="EOC27"/>
      <c r="EOD27"/>
      <c r="EOE27"/>
      <c r="EOF27"/>
      <c r="EOG27"/>
      <c r="EOH27"/>
      <c r="EOI27"/>
      <c r="EOJ27"/>
      <c r="EOK27"/>
      <c r="EOL27"/>
      <c r="EOM27"/>
      <c r="EON27"/>
      <c r="EOO27"/>
      <c r="EOP27"/>
      <c r="EOQ27"/>
      <c r="EOR27"/>
      <c r="EOS27"/>
      <c r="EOT27"/>
      <c r="EOU27"/>
      <c r="EOV27"/>
      <c r="EOW27"/>
      <c r="EOX27"/>
      <c r="EOY27"/>
      <c r="EOZ27"/>
      <c r="EPA27"/>
      <c r="EPB27"/>
      <c r="EPC27"/>
      <c r="EPD27"/>
      <c r="EPE27"/>
      <c r="EPF27"/>
      <c r="EPG27"/>
      <c r="EPH27"/>
      <c r="EPI27"/>
      <c r="EPJ27"/>
      <c r="EPK27"/>
      <c r="EPL27"/>
      <c r="EPM27"/>
      <c r="EPN27"/>
      <c r="EPO27"/>
      <c r="EPP27"/>
      <c r="EPQ27"/>
      <c r="EPR27"/>
      <c r="EPS27"/>
      <c r="EPT27"/>
      <c r="EPU27"/>
      <c r="EPV27"/>
      <c r="EPW27"/>
      <c r="EPX27"/>
      <c r="EPY27"/>
      <c r="EPZ27"/>
      <c r="EQA27"/>
      <c r="EQB27"/>
      <c r="EQC27"/>
      <c r="EQD27"/>
      <c r="EQE27"/>
      <c r="EQF27"/>
      <c r="EQG27"/>
      <c r="EQH27"/>
      <c r="EQI27"/>
      <c r="EQJ27"/>
      <c r="EQK27"/>
      <c r="EQL27"/>
      <c r="EQM27"/>
      <c r="EQN27"/>
      <c r="EQO27"/>
      <c r="EQP27"/>
      <c r="EQQ27"/>
      <c r="EQR27"/>
      <c r="EQS27"/>
      <c r="EQT27"/>
      <c r="EQU27"/>
      <c r="EQV27"/>
      <c r="EQW27"/>
      <c r="EQX27"/>
      <c r="EQY27"/>
      <c r="EQZ27"/>
      <c r="ERA27"/>
      <c r="ERB27"/>
      <c r="ERC27"/>
      <c r="ERD27"/>
      <c r="ERE27"/>
      <c r="ERF27"/>
      <c r="ERG27"/>
      <c r="ERH27"/>
      <c r="ERI27"/>
      <c r="ERJ27"/>
      <c r="ERK27"/>
      <c r="ERL27"/>
      <c r="ERM27"/>
      <c r="ERN27"/>
      <c r="ERO27"/>
      <c r="ERP27"/>
      <c r="ERQ27"/>
      <c r="ERR27"/>
      <c r="ERS27"/>
      <c r="ERT27"/>
      <c r="ERU27"/>
      <c r="ERV27"/>
      <c r="ERW27"/>
      <c r="ERX27"/>
      <c r="ERY27"/>
      <c r="ERZ27"/>
      <c r="ESA27"/>
      <c r="ESB27"/>
      <c r="ESC27"/>
      <c r="ESD27"/>
      <c r="ESE27"/>
      <c r="ESF27"/>
      <c r="ESG27"/>
      <c r="ESH27"/>
      <c r="ESI27"/>
      <c r="ESJ27"/>
      <c r="ESK27"/>
      <c r="ESL27"/>
      <c r="ESM27"/>
      <c r="ESN27"/>
      <c r="ESO27"/>
      <c r="ESP27"/>
      <c r="ESQ27"/>
      <c r="ESR27"/>
      <c r="ESS27"/>
      <c r="EST27"/>
      <c r="ESU27"/>
      <c r="ESV27"/>
      <c r="ESW27"/>
      <c r="ESX27"/>
      <c r="ESY27"/>
      <c r="ESZ27"/>
      <c r="ETA27"/>
      <c r="ETB27"/>
      <c r="ETC27"/>
      <c r="ETD27"/>
      <c r="ETE27"/>
      <c r="ETF27"/>
      <c r="ETG27"/>
      <c r="ETH27"/>
      <c r="ETI27"/>
      <c r="ETJ27"/>
      <c r="ETK27"/>
      <c r="ETL27"/>
      <c r="ETM27"/>
      <c r="ETN27"/>
      <c r="ETO27"/>
      <c r="ETP27"/>
      <c r="ETQ27"/>
      <c r="ETR27"/>
      <c r="ETS27"/>
      <c r="ETT27"/>
      <c r="ETU27"/>
      <c r="ETV27"/>
      <c r="ETW27"/>
      <c r="ETX27"/>
      <c r="ETY27"/>
      <c r="ETZ27"/>
      <c r="EUA27"/>
      <c r="EUB27"/>
      <c r="EUC27"/>
      <c r="EUD27"/>
      <c r="EUE27"/>
      <c r="EUF27"/>
      <c r="EUG27"/>
      <c r="EUH27"/>
      <c r="EUI27"/>
      <c r="EUJ27"/>
      <c r="EUK27"/>
      <c r="EUL27"/>
      <c r="EUM27"/>
      <c r="EUN27"/>
      <c r="EUO27"/>
      <c r="EUP27"/>
      <c r="EUQ27"/>
      <c r="EUR27"/>
      <c r="EUS27"/>
      <c r="EUT27"/>
      <c r="EUU27"/>
      <c r="EUV27"/>
      <c r="EUW27"/>
      <c r="EUX27"/>
      <c r="EUY27"/>
      <c r="EUZ27"/>
      <c r="EVA27"/>
      <c r="EVB27"/>
      <c r="EVC27"/>
      <c r="EVD27"/>
      <c r="EVE27"/>
      <c r="EVF27"/>
      <c r="EVG27"/>
      <c r="EVH27"/>
      <c r="EVI27"/>
      <c r="EVJ27"/>
      <c r="EVK27"/>
      <c r="EVL27"/>
      <c r="EVM27"/>
      <c r="EVN27"/>
      <c r="EVO27"/>
      <c r="EVP27"/>
      <c r="EVQ27"/>
      <c r="EVR27"/>
      <c r="EVS27"/>
      <c r="EVT27"/>
      <c r="EVU27"/>
      <c r="EVV27"/>
      <c r="EVW27"/>
      <c r="EVX27"/>
      <c r="EVY27"/>
      <c r="EVZ27"/>
      <c r="EWA27"/>
      <c r="EWB27"/>
      <c r="EWC27"/>
      <c r="EWD27"/>
      <c r="EWE27"/>
      <c r="EWF27"/>
      <c r="EWG27"/>
      <c r="EWH27"/>
      <c r="EWI27"/>
      <c r="EWJ27"/>
      <c r="EWK27"/>
      <c r="EWL27"/>
      <c r="EWM27"/>
      <c r="EWN27"/>
      <c r="EWO27"/>
      <c r="EWP27"/>
      <c r="EWQ27"/>
      <c r="EWR27"/>
      <c r="EWS27"/>
      <c r="EWT27"/>
      <c r="EWU27"/>
      <c r="EWV27"/>
      <c r="EWW27"/>
      <c r="EWX27"/>
      <c r="EWY27"/>
      <c r="EWZ27"/>
      <c r="EXA27"/>
      <c r="EXB27"/>
      <c r="EXC27"/>
      <c r="EXD27"/>
      <c r="EXE27"/>
      <c r="EXF27"/>
      <c r="EXG27"/>
      <c r="EXH27"/>
      <c r="EXI27"/>
      <c r="EXJ27"/>
      <c r="EXK27"/>
      <c r="EXL27"/>
      <c r="EXM27"/>
      <c r="EXN27"/>
      <c r="EXO27"/>
      <c r="EXP27"/>
      <c r="EXQ27"/>
      <c r="EXR27"/>
      <c r="EXS27"/>
      <c r="EXT27"/>
      <c r="EXU27"/>
      <c r="EXV27"/>
      <c r="EXW27"/>
      <c r="EXX27"/>
      <c r="EXY27"/>
      <c r="EXZ27"/>
      <c r="EYA27"/>
      <c r="EYB27"/>
      <c r="EYC27"/>
      <c r="EYD27"/>
      <c r="EYE27"/>
      <c r="EYF27"/>
      <c r="EYG27"/>
      <c r="EYH27"/>
      <c r="EYI27"/>
      <c r="EYJ27"/>
      <c r="EYK27"/>
      <c r="EYL27"/>
      <c r="EYM27"/>
      <c r="EYN27"/>
      <c r="EYO27"/>
      <c r="EYP27"/>
      <c r="EYQ27"/>
      <c r="EYR27"/>
      <c r="EYS27"/>
      <c r="EYT27"/>
      <c r="EYU27"/>
      <c r="EYV27"/>
      <c r="EYW27"/>
      <c r="EYX27"/>
      <c r="EYY27"/>
      <c r="EYZ27"/>
      <c r="EZA27"/>
      <c r="EZB27"/>
      <c r="EZC27"/>
      <c r="EZD27"/>
      <c r="EZE27"/>
      <c r="EZF27"/>
      <c r="EZG27"/>
      <c r="EZH27"/>
      <c r="EZI27"/>
      <c r="EZJ27"/>
      <c r="EZK27"/>
      <c r="EZL27"/>
      <c r="EZM27"/>
      <c r="EZN27"/>
      <c r="EZO27"/>
      <c r="EZP27"/>
      <c r="EZQ27"/>
      <c r="EZR27"/>
      <c r="EZS27"/>
      <c r="EZT27"/>
      <c r="EZU27"/>
      <c r="EZV27"/>
      <c r="EZW27"/>
      <c r="EZX27"/>
      <c r="EZY27"/>
      <c r="EZZ27"/>
      <c r="FAA27"/>
      <c r="FAB27"/>
      <c r="FAC27"/>
      <c r="FAD27"/>
      <c r="FAE27"/>
      <c r="FAF27"/>
      <c r="FAG27"/>
      <c r="FAH27"/>
      <c r="FAI27"/>
      <c r="FAJ27"/>
      <c r="FAK27"/>
      <c r="FAL27"/>
      <c r="FAM27"/>
      <c r="FAN27"/>
      <c r="FAO27"/>
      <c r="FAP27"/>
      <c r="FAQ27"/>
      <c r="FAR27"/>
      <c r="FAS27"/>
      <c r="FAT27"/>
      <c r="FAU27"/>
      <c r="FAV27"/>
      <c r="FAW27"/>
      <c r="FAX27"/>
      <c r="FAY27"/>
      <c r="FAZ27"/>
      <c r="FBA27"/>
      <c r="FBB27"/>
      <c r="FBC27"/>
      <c r="FBD27"/>
      <c r="FBE27"/>
      <c r="FBF27"/>
      <c r="FBG27"/>
      <c r="FBH27"/>
      <c r="FBI27"/>
      <c r="FBJ27"/>
      <c r="FBK27"/>
      <c r="FBL27"/>
      <c r="FBM27"/>
      <c r="FBN27"/>
      <c r="FBO27"/>
      <c r="FBP27"/>
      <c r="FBQ27"/>
      <c r="FBR27"/>
      <c r="FBS27"/>
      <c r="FBT27"/>
      <c r="FBU27"/>
      <c r="FBV27"/>
      <c r="FBW27"/>
      <c r="FBX27"/>
      <c r="FBY27"/>
      <c r="FBZ27"/>
      <c r="FCA27"/>
      <c r="FCB27"/>
      <c r="FCC27"/>
      <c r="FCD27"/>
      <c r="FCE27"/>
      <c r="FCF27"/>
      <c r="FCG27"/>
      <c r="FCH27"/>
      <c r="FCI27"/>
      <c r="FCJ27"/>
      <c r="FCK27"/>
      <c r="FCL27"/>
      <c r="FCM27"/>
      <c r="FCN27"/>
      <c r="FCO27"/>
      <c r="FCP27"/>
      <c r="FCQ27"/>
      <c r="FCR27"/>
      <c r="FCS27"/>
      <c r="FCT27"/>
      <c r="FCU27"/>
      <c r="FCV27"/>
      <c r="FCW27"/>
      <c r="FCX27"/>
      <c r="FCY27"/>
      <c r="FCZ27"/>
      <c r="FDA27"/>
      <c r="FDB27"/>
      <c r="FDC27"/>
      <c r="FDD27"/>
      <c r="FDE27"/>
      <c r="FDF27"/>
      <c r="FDG27"/>
      <c r="FDH27"/>
      <c r="FDI27"/>
      <c r="FDJ27"/>
      <c r="FDK27"/>
      <c r="FDL27"/>
      <c r="FDM27"/>
      <c r="FDN27"/>
      <c r="FDO27"/>
      <c r="FDP27"/>
      <c r="FDQ27"/>
      <c r="FDR27"/>
      <c r="FDS27"/>
      <c r="FDT27"/>
      <c r="FDU27"/>
      <c r="FDV27"/>
      <c r="FDW27"/>
      <c r="FDX27"/>
      <c r="FDY27"/>
      <c r="FDZ27"/>
      <c r="FEA27"/>
      <c r="FEB27"/>
      <c r="FEC27"/>
      <c r="FED27"/>
      <c r="FEE27"/>
      <c r="FEF27"/>
      <c r="FEG27"/>
      <c r="FEH27"/>
      <c r="FEI27"/>
      <c r="FEJ27"/>
      <c r="FEK27"/>
      <c r="FEL27"/>
      <c r="FEM27"/>
      <c r="FEN27"/>
      <c r="FEO27"/>
      <c r="FEP27"/>
      <c r="FEQ27"/>
      <c r="FER27"/>
      <c r="FES27"/>
      <c r="FET27"/>
      <c r="FEU27"/>
      <c r="FEV27"/>
      <c r="FEW27"/>
      <c r="FEX27"/>
      <c r="FEY27"/>
      <c r="FEZ27"/>
      <c r="FFA27"/>
      <c r="FFB27"/>
      <c r="FFC27"/>
      <c r="FFD27"/>
      <c r="FFE27"/>
      <c r="FFF27"/>
      <c r="FFG27"/>
      <c r="FFH27"/>
      <c r="FFI27"/>
      <c r="FFJ27"/>
      <c r="FFK27"/>
      <c r="FFL27"/>
      <c r="FFM27"/>
      <c r="FFN27"/>
      <c r="FFO27"/>
      <c r="FFP27"/>
      <c r="FFQ27"/>
      <c r="FFR27"/>
      <c r="FFS27"/>
      <c r="FFT27"/>
      <c r="FFU27"/>
      <c r="FFV27"/>
      <c r="FFW27"/>
      <c r="FFX27"/>
      <c r="FFY27"/>
      <c r="FFZ27"/>
      <c r="FGA27"/>
      <c r="FGB27"/>
      <c r="FGC27"/>
      <c r="FGD27"/>
      <c r="FGE27"/>
      <c r="FGF27"/>
      <c r="FGG27"/>
      <c r="FGH27"/>
      <c r="FGI27"/>
      <c r="FGJ27"/>
      <c r="FGK27"/>
      <c r="FGL27"/>
      <c r="FGM27"/>
      <c r="FGN27"/>
      <c r="FGO27"/>
      <c r="FGP27"/>
      <c r="FGQ27"/>
      <c r="FGR27"/>
      <c r="FGS27"/>
      <c r="FGT27"/>
      <c r="FGU27"/>
      <c r="FGV27"/>
      <c r="FGW27"/>
      <c r="FGX27"/>
      <c r="FGY27"/>
      <c r="FGZ27"/>
      <c r="FHA27"/>
      <c r="FHB27"/>
      <c r="FHC27"/>
      <c r="FHD27"/>
      <c r="FHE27"/>
      <c r="FHF27"/>
      <c r="FHG27"/>
      <c r="FHH27"/>
      <c r="FHI27"/>
      <c r="FHJ27"/>
      <c r="FHK27"/>
      <c r="FHL27"/>
      <c r="FHM27"/>
      <c r="FHN27"/>
      <c r="FHO27"/>
      <c r="FHP27"/>
      <c r="FHQ27"/>
      <c r="FHR27"/>
      <c r="FHS27"/>
      <c r="FHT27"/>
      <c r="FHU27"/>
      <c r="FHV27"/>
      <c r="FHW27"/>
      <c r="FHX27"/>
      <c r="FHY27"/>
      <c r="FHZ27"/>
      <c r="FIA27"/>
      <c r="FIB27"/>
      <c r="FIC27"/>
      <c r="FID27"/>
      <c r="FIE27"/>
      <c r="FIF27"/>
      <c r="FIG27"/>
      <c r="FIH27"/>
      <c r="FII27"/>
      <c r="FIJ27"/>
      <c r="FIK27"/>
      <c r="FIL27"/>
      <c r="FIM27"/>
      <c r="FIN27"/>
      <c r="FIO27"/>
      <c r="FIP27"/>
      <c r="FIQ27"/>
      <c r="FIR27"/>
      <c r="FIS27"/>
      <c r="FIT27"/>
      <c r="FIU27"/>
      <c r="FIV27"/>
      <c r="FIW27"/>
      <c r="FIX27"/>
      <c r="FIY27"/>
      <c r="FIZ27"/>
      <c r="FJA27"/>
      <c r="FJB27"/>
      <c r="FJC27"/>
      <c r="FJD27"/>
      <c r="FJE27"/>
      <c r="FJF27"/>
      <c r="FJG27"/>
      <c r="FJH27"/>
      <c r="FJI27"/>
      <c r="FJJ27"/>
      <c r="FJK27"/>
      <c r="FJL27"/>
      <c r="FJM27"/>
      <c r="FJN27"/>
      <c r="FJO27"/>
      <c r="FJP27"/>
      <c r="FJQ27"/>
      <c r="FJR27"/>
      <c r="FJS27"/>
      <c r="FJT27"/>
      <c r="FJU27"/>
      <c r="FJV27"/>
      <c r="FJW27"/>
      <c r="FJX27"/>
      <c r="FJY27"/>
      <c r="FJZ27"/>
      <c r="FKA27"/>
      <c r="FKB27"/>
      <c r="FKC27"/>
      <c r="FKD27"/>
      <c r="FKE27"/>
      <c r="FKF27"/>
      <c r="FKG27"/>
      <c r="FKH27"/>
      <c r="FKI27"/>
      <c r="FKJ27"/>
      <c r="FKK27"/>
      <c r="FKL27"/>
      <c r="FKM27"/>
      <c r="FKN27"/>
      <c r="FKO27"/>
      <c r="FKP27"/>
      <c r="FKQ27"/>
      <c r="FKR27"/>
      <c r="FKS27"/>
      <c r="FKT27"/>
      <c r="FKU27"/>
      <c r="FKV27"/>
      <c r="FKW27"/>
      <c r="FKX27"/>
      <c r="FKY27"/>
      <c r="FKZ27"/>
      <c r="FLA27"/>
      <c r="FLB27"/>
      <c r="FLC27"/>
      <c r="FLD27"/>
      <c r="FLE27"/>
      <c r="FLF27"/>
      <c r="FLG27"/>
      <c r="FLH27"/>
      <c r="FLI27"/>
      <c r="FLJ27"/>
      <c r="FLK27"/>
      <c r="FLL27"/>
      <c r="FLM27"/>
      <c r="FLN27"/>
      <c r="FLO27"/>
      <c r="FLP27"/>
      <c r="FLQ27"/>
      <c r="FLR27"/>
      <c r="FLS27"/>
      <c r="FLT27"/>
      <c r="FLU27"/>
      <c r="FLV27"/>
      <c r="FLW27"/>
      <c r="FLX27"/>
      <c r="FLY27"/>
      <c r="FLZ27"/>
      <c r="FMA27"/>
      <c r="FMB27"/>
      <c r="FMC27"/>
      <c r="FMD27"/>
      <c r="FME27"/>
      <c r="FMF27"/>
      <c r="FMG27"/>
      <c r="FMH27"/>
      <c r="FMI27"/>
      <c r="FMJ27"/>
      <c r="FMK27"/>
      <c r="FML27"/>
      <c r="FMM27"/>
      <c r="FMN27"/>
      <c r="FMO27"/>
      <c r="FMP27"/>
      <c r="FMQ27"/>
      <c r="FMR27"/>
      <c r="FMS27"/>
      <c r="FMT27"/>
      <c r="FMU27"/>
      <c r="FMV27"/>
      <c r="FMW27"/>
      <c r="FMX27"/>
      <c r="FMY27"/>
      <c r="FMZ27"/>
      <c r="FNA27"/>
      <c r="FNB27"/>
      <c r="FNC27"/>
      <c r="FND27"/>
      <c r="FNE27"/>
      <c r="FNF27"/>
      <c r="FNG27"/>
      <c r="FNH27"/>
      <c r="FNI27"/>
      <c r="FNJ27"/>
      <c r="FNK27"/>
      <c r="FNL27"/>
      <c r="FNM27"/>
      <c r="FNN27"/>
      <c r="FNO27"/>
      <c r="FNP27"/>
      <c r="FNQ27"/>
      <c r="FNR27"/>
      <c r="FNS27"/>
      <c r="FNT27"/>
      <c r="FNU27"/>
      <c r="FNV27"/>
      <c r="FNW27"/>
      <c r="FNX27"/>
      <c r="FNY27"/>
      <c r="FNZ27"/>
      <c r="FOA27"/>
      <c r="FOB27"/>
      <c r="FOC27"/>
      <c r="FOD27"/>
      <c r="FOE27"/>
      <c r="FOF27"/>
      <c r="FOG27"/>
      <c r="FOH27"/>
      <c r="FOI27"/>
      <c r="FOJ27"/>
      <c r="FOK27"/>
      <c r="FOL27"/>
      <c r="FOM27"/>
      <c r="FON27"/>
      <c r="FOO27"/>
      <c r="FOP27"/>
      <c r="FOQ27"/>
      <c r="FOR27"/>
      <c r="FOS27"/>
      <c r="FOT27"/>
      <c r="FOU27"/>
      <c r="FOV27"/>
      <c r="FOW27"/>
      <c r="FOX27"/>
      <c r="FOY27"/>
      <c r="FOZ27"/>
      <c r="FPA27"/>
      <c r="FPB27"/>
      <c r="FPC27"/>
      <c r="FPD27"/>
      <c r="FPE27"/>
      <c r="FPF27"/>
      <c r="FPG27"/>
      <c r="FPH27"/>
      <c r="FPI27"/>
      <c r="FPJ27"/>
      <c r="FPK27"/>
      <c r="FPL27"/>
      <c r="FPM27"/>
      <c r="FPN27"/>
      <c r="FPO27"/>
      <c r="FPP27"/>
      <c r="FPQ27"/>
      <c r="FPR27"/>
      <c r="FPS27"/>
      <c r="FPT27"/>
      <c r="FPU27"/>
      <c r="FPV27"/>
      <c r="FPW27"/>
      <c r="FPX27"/>
      <c r="FPY27"/>
      <c r="FPZ27"/>
      <c r="FQA27"/>
      <c r="FQB27"/>
      <c r="FQC27"/>
      <c r="FQD27"/>
      <c r="FQE27"/>
      <c r="FQF27"/>
      <c r="FQG27"/>
      <c r="FQH27"/>
      <c r="FQI27"/>
      <c r="FQJ27"/>
      <c r="FQK27"/>
      <c r="FQL27"/>
      <c r="FQM27"/>
      <c r="FQN27"/>
      <c r="FQO27"/>
      <c r="FQP27"/>
      <c r="FQQ27"/>
      <c r="FQR27"/>
      <c r="FQS27"/>
      <c r="FQT27"/>
      <c r="FQU27"/>
      <c r="FQV27"/>
      <c r="FQW27"/>
      <c r="FQX27"/>
      <c r="FQY27"/>
      <c r="FQZ27"/>
      <c r="FRA27"/>
      <c r="FRB27"/>
      <c r="FRC27"/>
      <c r="FRD27"/>
      <c r="FRE27"/>
      <c r="FRF27"/>
      <c r="FRG27"/>
      <c r="FRH27"/>
      <c r="FRI27"/>
      <c r="FRJ27"/>
      <c r="FRK27"/>
      <c r="FRL27"/>
      <c r="FRM27"/>
      <c r="FRN27"/>
      <c r="FRO27"/>
      <c r="FRP27"/>
      <c r="FRQ27"/>
      <c r="FRR27"/>
      <c r="FRS27"/>
      <c r="FRT27"/>
      <c r="FRU27"/>
      <c r="FRV27"/>
      <c r="FRW27"/>
      <c r="FRX27"/>
      <c r="FRY27"/>
      <c r="FRZ27"/>
      <c r="FSA27"/>
      <c r="FSB27"/>
      <c r="FSC27"/>
      <c r="FSD27"/>
      <c r="FSE27"/>
      <c r="FSF27"/>
      <c r="FSG27"/>
      <c r="FSH27"/>
      <c r="FSI27"/>
      <c r="FSJ27"/>
      <c r="FSK27"/>
      <c r="FSL27"/>
      <c r="FSM27"/>
      <c r="FSN27"/>
      <c r="FSO27"/>
      <c r="FSP27"/>
      <c r="FSQ27"/>
      <c r="FSR27"/>
      <c r="FSS27"/>
      <c r="FST27"/>
      <c r="FSU27"/>
      <c r="FSV27"/>
      <c r="FSW27"/>
      <c r="FSX27"/>
      <c r="FSY27"/>
      <c r="FSZ27"/>
      <c r="FTA27"/>
      <c r="FTB27"/>
      <c r="FTC27"/>
      <c r="FTD27"/>
      <c r="FTE27"/>
      <c r="FTF27"/>
      <c r="FTG27"/>
      <c r="FTH27"/>
      <c r="FTI27"/>
      <c r="FTJ27"/>
      <c r="FTK27"/>
      <c r="FTL27"/>
      <c r="FTM27"/>
      <c r="FTN27"/>
      <c r="FTO27"/>
      <c r="FTP27"/>
      <c r="FTQ27"/>
      <c r="FTR27"/>
      <c r="FTS27"/>
      <c r="FTT27"/>
      <c r="FTU27"/>
      <c r="FTV27"/>
      <c r="FTW27"/>
      <c r="FTX27"/>
      <c r="FTY27"/>
      <c r="FTZ27"/>
      <c r="FUA27"/>
      <c r="FUB27"/>
      <c r="FUC27"/>
      <c r="FUD27"/>
      <c r="FUE27"/>
      <c r="FUF27"/>
      <c r="FUG27"/>
      <c r="FUH27"/>
      <c r="FUI27"/>
      <c r="FUJ27"/>
      <c r="FUK27"/>
      <c r="FUL27"/>
      <c r="FUM27"/>
      <c r="FUN27"/>
      <c r="FUO27"/>
      <c r="FUP27"/>
      <c r="FUQ27"/>
      <c r="FUR27"/>
      <c r="FUS27"/>
      <c r="FUT27"/>
      <c r="FUU27"/>
      <c r="FUV27"/>
      <c r="FUW27"/>
      <c r="FUX27"/>
      <c r="FUY27"/>
      <c r="FUZ27"/>
      <c r="FVA27"/>
      <c r="FVB27"/>
      <c r="FVC27"/>
      <c r="FVD27"/>
      <c r="FVE27"/>
      <c r="FVF27"/>
      <c r="FVG27"/>
      <c r="FVH27"/>
      <c r="FVI27"/>
      <c r="FVJ27"/>
      <c r="FVK27"/>
      <c r="FVL27"/>
      <c r="FVM27"/>
      <c r="FVN27"/>
      <c r="FVO27"/>
      <c r="FVP27"/>
      <c r="FVQ27"/>
      <c r="FVR27"/>
      <c r="FVS27"/>
      <c r="FVT27"/>
      <c r="FVU27"/>
      <c r="FVV27"/>
      <c r="FVW27"/>
      <c r="FVX27"/>
      <c r="FVY27"/>
      <c r="FVZ27"/>
      <c r="FWA27"/>
      <c r="FWB27"/>
      <c r="FWC27"/>
      <c r="FWD27"/>
      <c r="FWE27"/>
      <c r="FWF27"/>
      <c r="FWG27"/>
      <c r="FWH27"/>
      <c r="FWI27"/>
      <c r="FWJ27"/>
      <c r="FWK27"/>
      <c r="FWL27"/>
      <c r="FWM27"/>
      <c r="FWN27"/>
      <c r="FWO27"/>
      <c r="FWP27"/>
      <c r="FWQ27"/>
      <c r="FWR27"/>
      <c r="FWS27"/>
      <c r="FWT27"/>
      <c r="FWU27"/>
      <c r="FWV27"/>
      <c r="FWW27"/>
      <c r="FWX27"/>
      <c r="FWY27"/>
      <c r="FWZ27"/>
      <c r="FXA27"/>
      <c r="FXB27"/>
      <c r="FXC27"/>
      <c r="FXD27"/>
      <c r="FXE27"/>
      <c r="FXF27"/>
      <c r="FXG27"/>
      <c r="FXH27"/>
      <c r="FXI27"/>
      <c r="FXJ27"/>
      <c r="FXK27"/>
      <c r="FXL27"/>
      <c r="FXM27"/>
      <c r="FXN27"/>
      <c r="FXO27"/>
      <c r="FXP27"/>
      <c r="FXQ27"/>
      <c r="FXR27"/>
      <c r="FXS27"/>
      <c r="FXT27"/>
      <c r="FXU27"/>
      <c r="FXV27"/>
      <c r="FXW27"/>
      <c r="FXX27"/>
      <c r="FXY27"/>
      <c r="FXZ27"/>
      <c r="FYA27"/>
      <c r="FYB27"/>
      <c r="FYC27"/>
      <c r="FYD27"/>
      <c r="FYE27"/>
      <c r="FYF27"/>
      <c r="FYG27"/>
      <c r="FYH27"/>
      <c r="FYI27"/>
      <c r="FYJ27"/>
      <c r="FYK27"/>
      <c r="FYL27"/>
      <c r="FYM27"/>
      <c r="FYN27"/>
      <c r="FYO27"/>
      <c r="FYP27"/>
      <c r="FYQ27"/>
      <c r="FYR27"/>
      <c r="FYS27"/>
      <c r="FYT27"/>
      <c r="FYU27"/>
      <c r="FYV27"/>
      <c r="FYW27"/>
      <c r="FYX27"/>
      <c r="FYY27"/>
      <c r="FYZ27"/>
      <c r="FZA27"/>
      <c r="FZB27"/>
      <c r="FZC27"/>
      <c r="FZD27"/>
      <c r="FZE27"/>
      <c r="FZF27"/>
      <c r="FZG27"/>
      <c r="FZH27"/>
      <c r="FZI27"/>
      <c r="FZJ27"/>
      <c r="FZK27"/>
      <c r="FZL27"/>
      <c r="FZM27"/>
      <c r="FZN27"/>
      <c r="FZO27"/>
      <c r="FZP27"/>
      <c r="FZQ27"/>
      <c r="FZR27"/>
      <c r="FZS27"/>
      <c r="FZT27"/>
      <c r="FZU27"/>
      <c r="FZV27"/>
      <c r="FZW27"/>
      <c r="FZX27"/>
      <c r="FZY27"/>
      <c r="FZZ27"/>
      <c r="GAA27"/>
      <c r="GAB27"/>
      <c r="GAC27"/>
      <c r="GAD27"/>
      <c r="GAE27"/>
      <c r="GAF27"/>
      <c r="GAG27"/>
      <c r="GAH27"/>
      <c r="GAI27"/>
      <c r="GAJ27"/>
      <c r="GAK27"/>
      <c r="GAL27"/>
      <c r="GAM27"/>
      <c r="GAN27"/>
      <c r="GAO27"/>
      <c r="GAP27"/>
      <c r="GAQ27"/>
      <c r="GAR27"/>
      <c r="GAS27"/>
      <c r="GAT27"/>
      <c r="GAU27"/>
      <c r="GAV27"/>
      <c r="GAW27"/>
      <c r="GAX27"/>
      <c r="GAY27"/>
      <c r="GAZ27"/>
      <c r="GBA27"/>
      <c r="GBB27"/>
      <c r="GBC27"/>
      <c r="GBD27"/>
      <c r="GBE27"/>
      <c r="GBF27"/>
      <c r="GBG27"/>
      <c r="GBH27"/>
      <c r="GBI27"/>
      <c r="GBJ27"/>
      <c r="GBK27"/>
      <c r="GBL27"/>
      <c r="GBM27"/>
      <c r="GBN27"/>
      <c r="GBO27"/>
      <c r="GBP27"/>
      <c r="GBQ27"/>
      <c r="GBR27"/>
      <c r="GBS27"/>
      <c r="GBT27"/>
      <c r="GBU27"/>
      <c r="GBV27"/>
      <c r="GBW27"/>
      <c r="GBX27"/>
      <c r="GBY27"/>
      <c r="GBZ27"/>
      <c r="GCA27"/>
      <c r="GCB27"/>
      <c r="GCC27"/>
      <c r="GCD27"/>
      <c r="GCE27"/>
      <c r="GCF27"/>
      <c r="GCG27"/>
      <c r="GCH27"/>
      <c r="GCI27"/>
      <c r="GCJ27"/>
      <c r="GCK27"/>
      <c r="GCL27"/>
      <c r="GCM27"/>
      <c r="GCN27"/>
      <c r="GCO27"/>
      <c r="GCP27"/>
      <c r="GCQ27"/>
      <c r="GCR27"/>
      <c r="GCS27"/>
      <c r="GCT27"/>
      <c r="GCU27"/>
      <c r="GCV27"/>
      <c r="GCW27"/>
      <c r="GCX27"/>
      <c r="GCY27"/>
      <c r="GCZ27"/>
      <c r="GDA27"/>
      <c r="GDB27"/>
      <c r="GDC27"/>
      <c r="GDD27"/>
      <c r="GDE27"/>
      <c r="GDF27"/>
      <c r="GDG27"/>
      <c r="GDH27"/>
      <c r="GDI27"/>
      <c r="GDJ27"/>
      <c r="GDK27"/>
      <c r="GDL27"/>
      <c r="GDM27"/>
      <c r="GDN27"/>
      <c r="GDO27"/>
      <c r="GDP27"/>
      <c r="GDQ27"/>
      <c r="GDR27"/>
      <c r="GDS27"/>
      <c r="GDT27"/>
      <c r="GDU27"/>
      <c r="GDV27"/>
      <c r="GDW27"/>
      <c r="GDX27"/>
      <c r="GDY27"/>
      <c r="GDZ27"/>
      <c r="GEA27"/>
      <c r="GEB27"/>
      <c r="GEC27"/>
      <c r="GED27"/>
      <c r="GEE27"/>
      <c r="GEF27"/>
      <c r="GEG27"/>
      <c r="GEH27"/>
      <c r="GEI27"/>
      <c r="GEJ27"/>
      <c r="GEK27"/>
      <c r="GEL27"/>
      <c r="GEM27"/>
      <c r="GEN27"/>
      <c r="GEO27"/>
      <c r="GEP27"/>
      <c r="GEQ27"/>
      <c r="GER27"/>
      <c r="GES27"/>
      <c r="GET27"/>
      <c r="GEU27"/>
      <c r="GEV27"/>
      <c r="GEW27"/>
      <c r="GEX27"/>
      <c r="GEY27"/>
      <c r="GEZ27"/>
      <c r="GFA27"/>
      <c r="GFB27"/>
      <c r="GFC27"/>
      <c r="GFD27"/>
      <c r="GFE27"/>
      <c r="GFF27"/>
      <c r="GFG27"/>
      <c r="GFH27"/>
      <c r="GFI27"/>
      <c r="GFJ27"/>
      <c r="GFK27"/>
      <c r="GFL27"/>
      <c r="GFM27"/>
      <c r="GFN27"/>
      <c r="GFO27"/>
      <c r="GFP27"/>
      <c r="GFQ27"/>
      <c r="GFR27"/>
      <c r="GFS27"/>
      <c r="GFT27"/>
      <c r="GFU27"/>
      <c r="GFV27"/>
      <c r="GFW27"/>
      <c r="GFX27"/>
      <c r="GFY27"/>
      <c r="GFZ27"/>
      <c r="GGA27"/>
      <c r="GGB27"/>
      <c r="GGC27"/>
      <c r="GGD27"/>
      <c r="GGE27"/>
      <c r="GGF27"/>
      <c r="GGG27"/>
      <c r="GGH27"/>
      <c r="GGI27"/>
      <c r="GGJ27"/>
      <c r="GGK27"/>
      <c r="GGL27"/>
      <c r="GGM27"/>
      <c r="GGN27"/>
      <c r="GGO27"/>
      <c r="GGP27"/>
      <c r="GGQ27"/>
      <c r="GGR27"/>
      <c r="GGS27"/>
      <c r="GGT27"/>
      <c r="GGU27"/>
      <c r="GGV27"/>
      <c r="GGW27"/>
      <c r="GGX27"/>
      <c r="GGY27"/>
      <c r="GGZ27"/>
      <c r="GHA27"/>
      <c r="GHB27"/>
      <c r="GHC27"/>
      <c r="GHD27"/>
      <c r="GHE27"/>
      <c r="GHF27"/>
      <c r="GHG27"/>
      <c r="GHH27"/>
      <c r="GHI27"/>
      <c r="GHJ27"/>
      <c r="GHK27"/>
      <c r="GHL27"/>
      <c r="GHM27"/>
      <c r="GHN27"/>
      <c r="GHO27"/>
      <c r="GHP27"/>
      <c r="GHQ27"/>
      <c r="GHR27"/>
      <c r="GHS27"/>
      <c r="GHT27"/>
      <c r="GHU27"/>
      <c r="GHV27"/>
      <c r="GHW27"/>
      <c r="GHX27"/>
      <c r="GHY27"/>
      <c r="GHZ27"/>
      <c r="GIA27"/>
      <c r="GIB27"/>
      <c r="GIC27"/>
      <c r="GID27"/>
      <c r="GIE27"/>
      <c r="GIF27"/>
      <c r="GIG27"/>
      <c r="GIH27"/>
      <c r="GII27"/>
      <c r="GIJ27"/>
      <c r="GIK27"/>
      <c r="GIL27"/>
      <c r="GIM27"/>
      <c r="GIN27"/>
      <c r="GIO27"/>
      <c r="GIP27"/>
      <c r="GIQ27"/>
      <c r="GIR27"/>
      <c r="GIS27"/>
      <c r="GIT27"/>
      <c r="GIU27"/>
      <c r="GIV27"/>
      <c r="GIW27"/>
      <c r="GIX27"/>
      <c r="GIY27"/>
      <c r="GIZ27"/>
      <c r="GJA27"/>
      <c r="GJB27"/>
      <c r="GJC27"/>
      <c r="GJD27"/>
      <c r="GJE27"/>
      <c r="GJF27"/>
      <c r="GJG27"/>
      <c r="GJH27"/>
      <c r="GJI27"/>
      <c r="GJJ27"/>
      <c r="GJK27"/>
      <c r="GJL27"/>
      <c r="GJM27"/>
      <c r="GJN27"/>
      <c r="GJO27"/>
      <c r="GJP27"/>
      <c r="GJQ27"/>
      <c r="GJR27"/>
    </row>
    <row r="28" customFormat="1" spans="1:1024 1025:5010">
      <c r="A28" s="74">
        <v>1</v>
      </c>
      <c r="B28" s="45">
        <f>EDATE(B13,K28)</f>
        <v>46280</v>
      </c>
      <c r="C28" s="46">
        <f t="shared" ref="C28:C37" si="0">ROUND(-PMT($B$5/$B$11,$B$10,$B$4,0),2)</f>
        <v>54937672.08</v>
      </c>
      <c r="D28" s="46">
        <f t="shared" ref="D28:D36" si="1">ROUND(-PPMT($B$5/$B$11,A28,$B$10,$B$4,0),2)</f>
        <v>46187672.08</v>
      </c>
      <c r="E28" s="46">
        <f t="shared" ref="E28:E37" si="2">C28-D28</f>
        <v>8750000</v>
      </c>
      <c r="F28" s="46">
        <f>D28</f>
        <v>46187672.08</v>
      </c>
      <c r="G28" s="46">
        <f t="shared" ref="G28:G37" si="3">$B$4-F28</f>
        <v>453812327.92</v>
      </c>
      <c r="H28" s="46">
        <f t="shared" ref="H28:H37" si="4">SUM($C$28:$C$37)-I28</f>
        <v>494439048.72</v>
      </c>
      <c r="I28" s="46">
        <f>C28</f>
        <v>54937672.08</v>
      </c>
      <c r="J28" s="74">
        <f>DATEDIF($B$13,B28,"M")</f>
        <v>6</v>
      </c>
      <c r="K28" s="88">
        <v>6</v>
      </c>
      <c r="L28" s="74"/>
      <c r="M28" s="4">
        <v>0.035</v>
      </c>
    </row>
    <row r="29" customFormat="1" spans="1:1024 1025:5010">
      <c r="A29" s="74">
        <v>2</v>
      </c>
      <c r="B29" s="45">
        <f t="shared" ref="B29:B37" si="5">EDATE(B28,K29)</f>
        <v>46461</v>
      </c>
      <c r="C29" s="46">
        <f t="shared" si="0"/>
        <v>54937672.08</v>
      </c>
      <c r="D29" s="46">
        <f t="shared" si="1"/>
        <v>46995956.34</v>
      </c>
      <c r="E29" s="46">
        <f t="shared" si="2"/>
        <v>7941715.73999999</v>
      </c>
      <c r="F29" s="46">
        <f t="shared" ref="F29:F37" si="6">D29+F28</f>
        <v>93183628.42</v>
      </c>
      <c r="G29" s="46">
        <f t="shared" si="3"/>
        <v>406816371.58</v>
      </c>
      <c r="H29" s="46">
        <f t="shared" si="4"/>
        <v>439501376.64</v>
      </c>
      <c r="I29" s="46">
        <f t="shared" ref="I29:I37" si="7">C29+I28</f>
        <v>109875344.16</v>
      </c>
      <c r="J29" s="74">
        <f t="shared" ref="J29:J37" si="8">DATEDIF(B28,B29,"M")</f>
        <v>6</v>
      </c>
      <c r="K29" s="88">
        <v>6</v>
      </c>
      <c r="L29" s="74"/>
      <c r="M29" s="4">
        <v>0.035</v>
      </c>
    </row>
    <row r="30" spans="1:1024 1025:5010">
      <c r="A30" s="74">
        <v>3</v>
      </c>
      <c r="B30" s="45">
        <f t="shared" si="5"/>
        <v>46645</v>
      </c>
      <c r="C30" s="46">
        <f t="shared" si="0"/>
        <v>54937672.08</v>
      </c>
      <c r="D30" s="46">
        <f t="shared" si="1"/>
        <v>47818385.58</v>
      </c>
      <c r="E30" s="46">
        <f t="shared" si="2"/>
        <v>7119286.5</v>
      </c>
      <c r="F30" s="46">
        <f t="shared" si="6"/>
        <v>141002014</v>
      </c>
      <c r="G30" s="46">
        <f t="shared" si="3"/>
        <v>358997986</v>
      </c>
      <c r="H30" s="46">
        <f t="shared" si="4"/>
        <v>384563704.56</v>
      </c>
      <c r="I30" s="46">
        <f t="shared" si="7"/>
        <v>164813016.24</v>
      </c>
      <c r="J30" s="74">
        <f t="shared" si="8"/>
        <v>6</v>
      </c>
      <c r="K30" s="88">
        <v>6</v>
      </c>
      <c r="L30" s="74"/>
      <c r="M30" s="4">
        <v>0.035</v>
      </c>
    </row>
    <row r="31" spans="1:1024 1025:5010">
      <c r="A31" s="74">
        <v>4</v>
      </c>
      <c r="B31" s="45">
        <f t="shared" si="5"/>
        <v>46827</v>
      </c>
      <c r="C31" s="46">
        <f t="shared" si="0"/>
        <v>54937672.08</v>
      </c>
      <c r="D31" s="46">
        <f t="shared" si="1"/>
        <v>48655207.32</v>
      </c>
      <c r="E31" s="46">
        <f t="shared" si="2"/>
        <v>6282464.76</v>
      </c>
      <c r="F31" s="46">
        <f t="shared" si="6"/>
        <v>189657221.32</v>
      </c>
      <c r="G31" s="46">
        <f t="shared" si="3"/>
        <v>310342778.68</v>
      </c>
      <c r="H31" s="46">
        <f t="shared" si="4"/>
        <v>329626032.48</v>
      </c>
      <c r="I31" s="46">
        <f t="shared" si="7"/>
        <v>219750688.32</v>
      </c>
      <c r="J31" s="74">
        <f t="shared" si="8"/>
        <v>6</v>
      </c>
      <c r="K31" s="88">
        <v>6</v>
      </c>
      <c r="L31" s="74"/>
      <c r="M31" s="4">
        <v>0.035</v>
      </c>
    </row>
    <row r="32" spans="1:1024 1025:5010">
      <c r="A32" s="74">
        <v>5</v>
      </c>
      <c r="B32" s="45">
        <f t="shared" si="5"/>
        <v>47011</v>
      </c>
      <c r="C32" s="46">
        <f t="shared" si="0"/>
        <v>54937672.08</v>
      </c>
      <c r="D32" s="46">
        <f t="shared" si="1"/>
        <v>49506673.45</v>
      </c>
      <c r="E32" s="46">
        <f t="shared" si="2"/>
        <v>5430998.63</v>
      </c>
      <c r="F32" s="46">
        <f t="shared" si="6"/>
        <v>239163894.77</v>
      </c>
      <c r="G32" s="46">
        <f t="shared" si="3"/>
        <v>260836105.23</v>
      </c>
      <c r="H32" s="46">
        <f t="shared" si="4"/>
        <v>274688360.4</v>
      </c>
      <c r="I32" s="46">
        <f t="shared" si="7"/>
        <v>274688360.4</v>
      </c>
      <c r="J32" s="74">
        <f t="shared" si="8"/>
        <v>6</v>
      </c>
      <c r="K32" s="88">
        <v>6</v>
      </c>
      <c r="L32" s="74"/>
      <c r="M32" s="4">
        <v>0.035</v>
      </c>
    </row>
    <row r="33" spans="1:13">
      <c r="A33" s="74">
        <v>6</v>
      </c>
      <c r="B33" s="45">
        <f t="shared" si="5"/>
        <v>47192</v>
      </c>
      <c r="C33" s="46">
        <f t="shared" si="0"/>
        <v>54937672.08</v>
      </c>
      <c r="D33" s="46">
        <f t="shared" si="1"/>
        <v>50373040.24</v>
      </c>
      <c r="E33" s="46">
        <f t="shared" si="2"/>
        <v>4564631.84</v>
      </c>
      <c r="F33" s="46">
        <f t="shared" si="6"/>
        <v>289536935.01</v>
      </c>
      <c r="G33" s="46">
        <f t="shared" si="3"/>
        <v>210463064.99</v>
      </c>
      <c r="H33" s="46">
        <f t="shared" si="4"/>
        <v>219750688.32</v>
      </c>
      <c r="I33" s="46">
        <f t="shared" si="7"/>
        <v>329626032.48</v>
      </c>
      <c r="J33" s="74">
        <f t="shared" si="8"/>
        <v>6</v>
      </c>
      <c r="K33" s="88">
        <v>6</v>
      </c>
      <c r="L33" s="74"/>
      <c r="M33" s="4">
        <v>0.035</v>
      </c>
    </row>
    <row r="34" spans="1:13">
      <c r="A34" s="74">
        <v>7</v>
      </c>
      <c r="B34" s="45">
        <f t="shared" si="5"/>
        <v>47376</v>
      </c>
      <c r="C34" s="46">
        <f t="shared" si="0"/>
        <v>54937672.08</v>
      </c>
      <c r="D34" s="46">
        <f t="shared" si="1"/>
        <v>51254568.44</v>
      </c>
      <c r="E34" s="46">
        <f t="shared" si="2"/>
        <v>3683103.64</v>
      </c>
      <c r="F34" s="46">
        <f t="shared" si="6"/>
        <v>340791503.45</v>
      </c>
      <c r="G34" s="46">
        <f t="shared" si="3"/>
        <v>159208496.55</v>
      </c>
      <c r="H34" s="46">
        <f t="shared" si="4"/>
        <v>164813016.24</v>
      </c>
      <c r="I34" s="46">
        <f t="shared" si="7"/>
        <v>384563704.56</v>
      </c>
      <c r="J34" s="74">
        <f t="shared" si="8"/>
        <v>6</v>
      </c>
      <c r="K34" s="88">
        <v>6</v>
      </c>
      <c r="L34" s="74"/>
      <c r="M34" s="4">
        <v>0.035</v>
      </c>
    </row>
    <row r="35" spans="1:13">
      <c r="A35" s="74">
        <v>8</v>
      </c>
      <c r="B35" s="45">
        <f t="shared" si="5"/>
        <v>47557</v>
      </c>
      <c r="C35" s="46">
        <f t="shared" si="0"/>
        <v>54937672.08</v>
      </c>
      <c r="D35" s="46">
        <f t="shared" si="1"/>
        <v>52151523.39</v>
      </c>
      <c r="E35" s="46">
        <f t="shared" si="2"/>
        <v>2786148.69</v>
      </c>
      <c r="F35" s="46">
        <f t="shared" si="6"/>
        <v>392943026.84</v>
      </c>
      <c r="G35" s="46">
        <f t="shared" si="3"/>
        <v>107056973.16</v>
      </c>
      <c r="H35" s="46">
        <f t="shared" si="4"/>
        <v>109875344.16</v>
      </c>
      <c r="I35" s="46">
        <f t="shared" si="7"/>
        <v>439501376.64</v>
      </c>
      <c r="J35" s="74">
        <f t="shared" si="8"/>
        <v>6</v>
      </c>
      <c r="K35" s="88">
        <v>6</v>
      </c>
      <c r="L35" s="74"/>
      <c r="M35" s="4">
        <v>0.035</v>
      </c>
    </row>
    <row r="36" spans="1:13">
      <c r="A36" s="74">
        <v>9</v>
      </c>
      <c r="B36" s="45">
        <f t="shared" si="5"/>
        <v>47741</v>
      </c>
      <c r="C36" s="46">
        <f t="shared" si="0"/>
        <v>54937672.08</v>
      </c>
      <c r="D36" s="46">
        <f t="shared" si="1"/>
        <v>53064175.05</v>
      </c>
      <c r="E36" s="46">
        <f t="shared" si="2"/>
        <v>1873497.03</v>
      </c>
      <c r="F36" s="46">
        <f t="shared" si="6"/>
        <v>446007201.89</v>
      </c>
      <c r="G36" s="46">
        <f t="shared" si="3"/>
        <v>53992798.11</v>
      </c>
      <c r="H36" s="46">
        <f t="shared" si="4"/>
        <v>54937672.08</v>
      </c>
      <c r="I36" s="46">
        <f t="shared" si="7"/>
        <v>494439048.72</v>
      </c>
      <c r="J36" s="74">
        <f t="shared" si="8"/>
        <v>6</v>
      </c>
      <c r="K36" s="88">
        <v>6</v>
      </c>
      <c r="L36" s="74"/>
      <c r="M36" s="4">
        <v>0.035</v>
      </c>
    </row>
    <row r="37" spans="1:13">
      <c r="A37" s="74">
        <v>10</v>
      </c>
      <c r="B37" s="45">
        <f t="shared" si="5"/>
        <v>47922</v>
      </c>
      <c r="C37" s="46">
        <f t="shared" si="0"/>
        <v>54937672.08</v>
      </c>
      <c r="D37" s="46">
        <f>$B$4-SUM(D28:D36)</f>
        <v>53992798.11</v>
      </c>
      <c r="E37" s="46">
        <f t="shared" si="2"/>
        <v>944873.969999984</v>
      </c>
      <c r="F37" s="46">
        <f t="shared" si="6"/>
        <v>500000000</v>
      </c>
      <c r="G37" s="46">
        <f t="shared" si="3"/>
        <v>0</v>
      </c>
      <c r="H37" s="46">
        <f t="shared" si="4"/>
        <v>0</v>
      </c>
      <c r="I37" s="46">
        <f t="shared" si="7"/>
        <v>549376720.8</v>
      </c>
      <c r="J37" s="74">
        <f t="shared" si="8"/>
        <v>6</v>
      </c>
      <c r="K37" s="88">
        <v>6</v>
      </c>
      <c r="L37" s="74"/>
      <c r="M37" s="4">
        <v>0.035</v>
      </c>
    </row>
    <row r="38" spans="1:13">
      <c r="A38" s="77" t="s">
        <v>56</v>
      </c>
      <c r="B38" s="77" t="s">
        <v>57</v>
      </c>
      <c r="C38" s="77">
        <f>SUM(C28:C37)</f>
        <v>549376720.8</v>
      </c>
      <c r="D38" s="77">
        <f>SUM(D28:D37)</f>
        <v>500000000</v>
      </c>
      <c r="E38" s="77">
        <f>SUM(E28:E37)</f>
        <v>49376720.8</v>
      </c>
      <c r="F38" s="77" t="s">
        <v>57</v>
      </c>
      <c r="G38" s="77" t="s">
        <v>57</v>
      </c>
      <c r="H38" s="77" t="s">
        <v>57</v>
      </c>
      <c r="I38" s="77" t="s">
        <v>57</v>
      </c>
      <c r="J38" s="77">
        <f>SUM(J28:J37)</f>
        <v>60</v>
      </c>
      <c r="K38" s="77">
        <f>SUM(K28:K37)</f>
        <v>60</v>
      </c>
      <c r="L38" s="83"/>
      <c r="M38" s="4">
        <v>0.035</v>
      </c>
    </row>
    <row r="39" spans="1:13">
      <c r="A39"/>
      <c r="B39"/>
      <c r="C39"/>
      <c r="D39"/>
      <c r="E39"/>
      <c r="F39"/>
      <c r="G39"/>
      <c r="H39"/>
      <c r="I39"/>
      <c r="M39" s="4">
        <v>0.035</v>
      </c>
    </row>
    <row r="40" spans="1:13">
      <c r="A40"/>
      <c r="B40"/>
      <c r="C40"/>
      <c r="D40"/>
      <c r="E40"/>
      <c r="F40"/>
      <c r="G40"/>
      <c r="H40"/>
      <c r="I40"/>
    </row>
    <row r="41" spans="1:13">
      <c r="A41"/>
      <c r="B41"/>
      <c r="C41"/>
      <c r="D41"/>
      <c r="E41"/>
      <c r="F41"/>
      <c r="G41"/>
      <c r="H41"/>
      <c r="I41"/>
    </row>
    <row r="42" ht="23.2" spans="1:13">
      <c r="A42" s="78" t="s">
        <v>58</v>
      </c>
      <c r="B42"/>
      <c r="C42"/>
      <c r="D42"/>
      <c r="E42"/>
      <c r="F42"/>
      <c r="G42"/>
      <c r="H42"/>
      <c r="I42"/>
    </row>
    <row r="43" ht="36" spans="1:13">
      <c r="A43" s="79" t="s">
        <v>44</v>
      </c>
      <c r="B43" s="79" t="s">
        <v>59</v>
      </c>
      <c r="C43" s="79" t="s">
        <v>60</v>
      </c>
      <c r="D43" s="79" t="s">
        <v>61</v>
      </c>
      <c r="E43" s="79" t="s">
        <v>62</v>
      </c>
      <c r="F43" s="79" t="s">
        <v>63</v>
      </c>
      <c r="G43" s="79" t="s">
        <v>64</v>
      </c>
      <c r="H43" s="79" t="s">
        <v>65</v>
      </c>
      <c r="I43" s="79" t="s">
        <v>66</v>
      </c>
      <c r="J43" s="79" t="s">
        <v>67</v>
      </c>
      <c r="K43" s="79" t="s">
        <v>68</v>
      </c>
    </row>
    <row r="44" ht="51" spans="1:13">
      <c r="A44" s="44">
        <v>0</v>
      </c>
      <c r="B44" s="45">
        <f>B13</f>
        <v>46096</v>
      </c>
      <c r="C44" s="46">
        <f t="shared" ref="C44:C54" si="9">SUM(G44:K44)</f>
        <v>-500499999.99</v>
      </c>
      <c r="D44" s="46" t="s">
        <v>69</v>
      </c>
      <c r="E44" s="46">
        <f t="shared" ref="E44:E54" si="10">SUM(F44:J44)</f>
        <v>-499999999.99</v>
      </c>
      <c r="F44" s="46" t="s">
        <v>70</v>
      </c>
      <c r="G44" s="46">
        <f>-B4</f>
        <v>-500000000</v>
      </c>
      <c r="H44" s="46"/>
      <c r="I44" s="46">
        <f>D6</f>
        <v>0.01</v>
      </c>
      <c r="J44" s="46"/>
      <c r="K44" s="46">
        <f>-B4*G16</f>
        <v>-500000</v>
      </c>
    </row>
    <row r="45" ht="17" spans="1:13">
      <c r="A45" s="44">
        <v>1</v>
      </c>
      <c r="B45" s="45">
        <f t="shared" ref="B45:B54" si="11">B28</f>
        <v>46280</v>
      </c>
      <c r="C45" s="46">
        <f t="shared" si="9"/>
        <v>54937672.08</v>
      </c>
      <c r="D45" s="46" t="s">
        <v>71</v>
      </c>
      <c r="E45" s="46">
        <f t="shared" si="10"/>
        <v>54937672.08</v>
      </c>
      <c r="F45" s="46" t="s">
        <v>71</v>
      </c>
      <c r="G45" s="46"/>
      <c r="H45" s="46">
        <f t="shared" ref="H45:H54" si="12">C28</f>
        <v>54937672.08</v>
      </c>
      <c r="I45" s="46"/>
      <c r="J45" s="46"/>
      <c r="K45" s="46"/>
    </row>
    <row r="46" ht="17" spans="1:13">
      <c r="A46" s="44">
        <v>2</v>
      </c>
      <c r="B46" s="45">
        <f t="shared" si="11"/>
        <v>46461</v>
      </c>
      <c r="C46" s="46">
        <f t="shared" si="9"/>
        <v>54937672.08</v>
      </c>
      <c r="D46" s="46" t="s">
        <v>72</v>
      </c>
      <c r="E46" s="46">
        <f t="shared" si="10"/>
        <v>54937672.08</v>
      </c>
      <c r="F46" s="46" t="s">
        <v>72</v>
      </c>
      <c r="G46" s="46"/>
      <c r="H46" s="46">
        <f t="shared" si="12"/>
        <v>54937672.08</v>
      </c>
      <c r="I46" s="46"/>
      <c r="J46" s="46"/>
      <c r="K46" s="46"/>
    </row>
    <row r="47" ht="17" spans="1:13">
      <c r="A47" s="44">
        <v>3</v>
      </c>
      <c r="B47" s="45">
        <f t="shared" si="11"/>
        <v>46645</v>
      </c>
      <c r="C47" s="46">
        <f t="shared" si="9"/>
        <v>54937672.08</v>
      </c>
      <c r="D47" s="46" t="s">
        <v>73</v>
      </c>
      <c r="E47" s="46">
        <f t="shared" si="10"/>
        <v>54937672.08</v>
      </c>
      <c r="F47" s="46" t="s">
        <v>73</v>
      </c>
      <c r="G47" s="46"/>
      <c r="H47" s="46">
        <f t="shared" si="12"/>
        <v>54937672.08</v>
      </c>
      <c r="I47" s="46"/>
      <c r="J47" s="46"/>
      <c r="K47" s="46"/>
    </row>
    <row r="48" ht="17" spans="1:13">
      <c r="A48" s="44">
        <v>4</v>
      </c>
      <c r="B48" s="45">
        <f t="shared" si="11"/>
        <v>46827</v>
      </c>
      <c r="C48" s="46">
        <f t="shared" si="9"/>
        <v>54937672.08</v>
      </c>
      <c r="D48" s="46" t="s">
        <v>74</v>
      </c>
      <c r="E48" s="46">
        <f t="shared" si="10"/>
        <v>54937672.08</v>
      </c>
      <c r="F48" s="46" t="s">
        <v>74</v>
      </c>
      <c r="G48" s="46"/>
      <c r="H48" s="46">
        <f t="shared" si="12"/>
        <v>54937672.08</v>
      </c>
      <c r="I48" s="46"/>
      <c r="J48" s="46"/>
      <c r="K48" s="46"/>
    </row>
    <row r="49" ht="17" spans="1:11">
      <c r="A49" s="44">
        <v>5</v>
      </c>
      <c r="B49" s="45">
        <f t="shared" si="11"/>
        <v>47011</v>
      </c>
      <c r="C49" s="46">
        <f t="shared" si="9"/>
        <v>54937672.08</v>
      </c>
      <c r="D49" s="46" t="s">
        <v>75</v>
      </c>
      <c r="E49" s="46">
        <f t="shared" si="10"/>
        <v>54937672.08</v>
      </c>
      <c r="F49" s="46" t="s">
        <v>75</v>
      </c>
      <c r="G49" s="46"/>
      <c r="H49" s="46">
        <f t="shared" si="12"/>
        <v>54937672.08</v>
      </c>
      <c r="I49" s="46"/>
      <c r="J49" s="46"/>
      <c r="K49" s="46"/>
    </row>
    <row r="50" ht="17" spans="1:11">
      <c r="A50" s="44">
        <v>6</v>
      </c>
      <c r="B50" s="45">
        <f t="shared" si="11"/>
        <v>47192</v>
      </c>
      <c r="C50" s="46">
        <f t="shared" si="9"/>
        <v>54937672.08</v>
      </c>
      <c r="D50" s="46" t="s">
        <v>76</v>
      </c>
      <c r="E50" s="46">
        <f t="shared" si="10"/>
        <v>54937672.08</v>
      </c>
      <c r="F50" s="46" t="s">
        <v>76</v>
      </c>
      <c r="G50" s="46"/>
      <c r="H50" s="46">
        <f t="shared" si="12"/>
        <v>54937672.08</v>
      </c>
      <c r="I50" s="46"/>
      <c r="J50" s="46"/>
      <c r="K50" s="46"/>
    </row>
    <row r="51" ht="17" spans="1:11">
      <c r="A51" s="44">
        <v>7</v>
      </c>
      <c r="B51" s="45">
        <f t="shared" si="11"/>
        <v>47376</v>
      </c>
      <c r="C51" s="46">
        <f t="shared" si="9"/>
        <v>54937672.08</v>
      </c>
      <c r="D51" s="46" t="s">
        <v>77</v>
      </c>
      <c r="E51" s="46">
        <f t="shared" si="10"/>
        <v>54937672.08</v>
      </c>
      <c r="F51" s="46" t="s">
        <v>77</v>
      </c>
      <c r="G51" s="46"/>
      <c r="H51" s="46">
        <f t="shared" si="12"/>
        <v>54937672.08</v>
      </c>
      <c r="I51" s="46"/>
      <c r="J51" s="46"/>
      <c r="K51" s="46"/>
    </row>
    <row r="52" ht="17" spans="1:11">
      <c r="A52" s="44">
        <v>8</v>
      </c>
      <c r="B52" s="45">
        <f t="shared" si="11"/>
        <v>47557</v>
      </c>
      <c r="C52" s="46">
        <f t="shared" si="9"/>
        <v>54937672.08</v>
      </c>
      <c r="D52" s="46" t="s">
        <v>78</v>
      </c>
      <c r="E52" s="46">
        <f t="shared" si="10"/>
        <v>54937672.08</v>
      </c>
      <c r="F52" s="46" t="s">
        <v>78</v>
      </c>
      <c r="G52" s="46"/>
      <c r="H52" s="46">
        <f t="shared" si="12"/>
        <v>54937672.08</v>
      </c>
      <c r="I52" s="46"/>
      <c r="J52" s="46"/>
      <c r="K52" s="46"/>
    </row>
    <row r="53" ht="17" spans="1:11">
      <c r="A53" s="44">
        <v>9</v>
      </c>
      <c r="B53" s="45">
        <f t="shared" si="11"/>
        <v>47741</v>
      </c>
      <c r="C53" s="46">
        <f t="shared" si="9"/>
        <v>54937672.08</v>
      </c>
      <c r="D53" s="46" t="s">
        <v>79</v>
      </c>
      <c r="E53" s="46">
        <f t="shared" si="10"/>
        <v>54937672.08</v>
      </c>
      <c r="F53" s="46" t="s">
        <v>79</v>
      </c>
      <c r="G53" s="46"/>
      <c r="H53" s="46">
        <f t="shared" si="12"/>
        <v>54937672.08</v>
      </c>
      <c r="I53" s="46"/>
      <c r="J53" s="46"/>
      <c r="K53" s="46"/>
    </row>
    <row r="54" ht="68" spans="1:11">
      <c r="A54" s="44">
        <v>10</v>
      </c>
      <c r="B54" s="45">
        <f t="shared" si="11"/>
        <v>47922</v>
      </c>
      <c r="C54" s="46">
        <f t="shared" si="9"/>
        <v>54937673.07</v>
      </c>
      <c r="D54" s="46" t="s">
        <v>80</v>
      </c>
      <c r="E54" s="46">
        <f t="shared" si="10"/>
        <v>54937673.07</v>
      </c>
      <c r="F54" s="46" t="s">
        <v>81</v>
      </c>
      <c r="G54" s="46"/>
      <c r="H54" s="46">
        <f t="shared" si="12"/>
        <v>54937672.08</v>
      </c>
      <c r="I54" s="46">
        <f>-D6</f>
        <v>-0.01</v>
      </c>
      <c r="J54" s="46">
        <f>B8</f>
        <v>1</v>
      </c>
      <c r="K54" s="46"/>
    </row>
    <row r="55" spans="1:11">
      <c r="A55"/>
      <c r="B55"/>
      <c r="C55"/>
      <c r="D55"/>
      <c r="E55"/>
      <c r="F55"/>
      <c r="G55"/>
      <c r="H55"/>
      <c r="I55"/>
    </row>
    <row r="56" spans="1:11">
      <c r="A56"/>
      <c r="B56"/>
      <c r="C56"/>
      <c r="D56"/>
      <c r="E56"/>
      <c r="F56"/>
      <c r="G56"/>
      <c r="H56"/>
      <c r="I56"/>
    </row>
    <row r="57" spans="1:11">
      <c r="A57"/>
      <c r="B57"/>
      <c r="C57"/>
      <c r="D57"/>
      <c r="E57"/>
      <c r="F57"/>
      <c r="G57"/>
      <c r="H57"/>
      <c r="I57"/>
    </row>
    <row r="58" spans="1:11">
      <c r="A58"/>
      <c r="B58"/>
      <c r="C58"/>
      <c r="D58"/>
      <c r="E58"/>
      <c r="F58"/>
      <c r="G58"/>
      <c r="H58"/>
      <c r="I58"/>
    </row>
    <row r="59" spans="1:11">
      <c r="A59"/>
      <c r="B59"/>
      <c r="C59"/>
      <c r="D59"/>
      <c r="E59"/>
      <c r="F59"/>
      <c r="G59"/>
      <c r="H59"/>
      <c r="I59"/>
    </row>
    <row r="60" spans="1:11">
      <c r="A60"/>
      <c r="B60"/>
      <c r="C60"/>
      <c r="D60"/>
      <c r="E60"/>
      <c r="F60"/>
      <c r="G60"/>
      <c r="H60"/>
      <c r="I60"/>
    </row>
    <row r="61" spans="1:11">
      <c r="A61"/>
      <c r="B61"/>
      <c r="C61"/>
      <c r="D61"/>
      <c r="E61"/>
      <c r="F61"/>
      <c r="G61"/>
      <c r="H61"/>
      <c r="I61"/>
    </row>
    <row r="62" spans="1:11">
      <c r="A62"/>
      <c r="B62"/>
      <c r="C62"/>
      <c r="D62"/>
      <c r="E62"/>
      <c r="F62"/>
      <c r="G62"/>
      <c r="H62"/>
      <c r="I62"/>
    </row>
    <row r="63" spans="1:11">
      <c r="A63"/>
      <c r="B63"/>
      <c r="C63"/>
      <c r="D63"/>
      <c r="E63"/>
      <c r="F63"/>
      <c r="G63"/>
      <c r="H63"/>
      <c r="I63"/>
    </row>
    <row r="64" spans="1:11">
      <c r="A64"/>
      <c r="B64"/>
      <c r="C64"/>
      <c r="D64"/>
      <c r="E64"/>
      <c r="F64"/>
      <c r="G64"/>
      <c r="H64"/>
      <c r="I64"/>
    </row>
    <row r="65" spans="1:9">
      <c r="A65"/>
      <c r="B65"/>
      <c r="C65"/>
      <c r="D65"/>
      <c r="E65"/>
      <c r="F65"/>
      <c r="G65"/>
      <c r="H65"/>
      <c r="I65"/>
    </row>
    <row r="66" spans="1:9">
      <c r="A66"/>
      <c r="B66"/>
      <c r="C66"/>
      <c r="D66"/>
      <c r="E66"/>
      <c r="F66"/>
      <c r="G66"/>
      <c r="H66"/>
      <c r="I66"/>
    </row>
    <row r="67" spans="1:9">
      <c r="A67"/>
      <c r="B67"/>
      <c r="C67"/>
      <c r="D67"/>
      <c r="E67"/>
      <c r="F67"/>
      <c r="G67"/>
      <c r="H67"/>
      <c r="I67"/>
    </row>
    <row r="68" spans="1:9">
      <c r="A68"/>
      <c r="B68"/>
      <c r="C68"/>
      <c r="D68"/>
      <c r="E68"/>
      <c r="F68"/>
      <c r="G68"/>
      <c r="H68"/>
      <c r="I68"/>
    </row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spans="1:9">
      <c r="A215"/>
      <c r="B215"/>
      <c r="C215"/>
      <c r="D215"/>
      <c r="E215"/>
      <c r="F215"/>
      <c r="G215"/>
      <c r="H215"/>
      <c r="I215"/>
    </row>
    <row r="216" spans="1:9">
      <c r="A216"/>
      <c r="B216"/>
      <c r="C216"/>
      <c r="D216"/>
      <c r="E216"/>
      <c r="F216"/>
      <c r="G216"/>
      <c r="H216"/>
      <c r="I216"/>
    </row>
    <row r="217" spans="1:9">
      <c r="A217"/>
      <c r="B217"/>
      <c r="C217"/>
      <c r="D217"/>
      <c r="E217"/>
      <c r="F217"/>
      <c r="G217"/>
      <c r="H217"/>
      <c r="I217"/>
    </row>
    <row r="218" spans="1:9">
      <c r="A218"/>
      <c r="B218"/>
      <c r="C218"/>
      <c r="D218"/>
      <c r="E218"/>
      <c r="F218"/>
      <c r="G218"/>
      <c r="H218"/>
      <c r="I218"/>
    </row>
    <row r="219" spans="1:9">
      <c r="A219"/>
      <c r="B219"/>
      <c r="C219"/>
      <c r="D219"/>
      <c r="E219"/>
      <c r="F219"/>
      <c r="G219"/>
      <c r="H219"/>
      <c r="I219"/>
    </row>
    <row r="220" spans="1:9">
      <c r="A220"/>
      <c r="B220"/>
      <c r="C220"/>
      <c r="D220"/>
      <c r="E220"/>
      <c r="F220"/>
      <c r="G220"/>
      <c r="H220"/>
      <c r="I220"/>
    </row>
    <row r="221" spans="1:9">
      <c r="A221"/>
      <c r="B221"/>
      <c r="C221"/>
      <c r="D221"/>
      <c r="E221"/>
      <c r="F221"/>
      <c r="G221"/>
      <c r="H221"/>
      <c r="I221"/>
    </row>
    <row r="222" spans="1:9">
      <c r="A222"/>
      <c r="B222"/>
      <c r="C222"/>
      <c r="D222"/>
      <c r="E222"/>
      <c r="F222"/>
      <c r="G222"/>
      <c r="H222"/>
      <c r="I222"/>
    </row>
    <row r="223" spans="1:9">
      <c r="A223"/>
      <c r="B223"/>
      <c r="C223"/>
      <c r="D223"/>
      <c r="E223"/>
      <c r="F223"/>
      <c r="G223"/>
      <c r="H223"/>
      <c r="I223"/>
    </row>
    <row r="224" spans="1:9">
      <c r="A224"/>
      <c r="B224"/>
      <c r="C224"/>
      <c r="D224"/>
      <c r="E224"/>
      <c r="F224"/>
      <c r="G224"/>
      <c r="H224"/>
      <c r="I224"/>
    </row>
    <row r="225" spans="1:9">
      <c r="A225"/>
      <c r="B225"/>
      <c r="C225"/>
      <c r="D225"/>
      <c r="E225"/>
      <c r="F225"/>
      <c r="G225"/>
      <c r="H225"/>
      <c r="I225"/>
    </row>
    <row r="226" spans="1:9">
      <c r="A226"/>
      <c r="B226"/>
      <c r="C226"/>
      <c r="D226"/>
      <c r="E226"/>
      <c r="F226"/>
      <c r="G226"/>
      <c r="H226"/>
      <c r="I226"/>
    </row>
    <row r="227" spans="1:9">
      <c r="A227"/>
      <c r="B227"/>
      <c r="C227"/>
      <c r="D227"/>
      <c r="E227"/>
      <c r="F227"/>
      <c r="G227"/>
      <c r="H227"/>
      <c r="I227"/>
    </row>
    <row r="228" spans="1:9">
      <c r="A228"/>
      <c r="B228"/>
      <c r="C228"/>
      <c r="D228"/>
      <c r="E228"/>
      <c r="F228"/>
      <c r="G228"/>
      <c r="H228"/>
      <c r="I228"/>
    </row>
    <row r="229" spans="1:9">
      <c r="A229"/>
      <c r="B229"/>
      <c r="C229"/>
      <c r="D229"/>
      <c r="E229"/>
      <c r="F229"/>
      <c r="G229"/>
      <c r="H229"/>
      <c r="I229"/>
    </row>
    <row r="230" spans="1:9">
      <c r="A230"/>
      <c r="B230"/>
      <c r="C230"/>
      <c r="D230"/>
      <c r="E230"/>
      <c r="F230"/>
      <c r="G230"/>
      <c r="H230"/>
      <c r="I230"/>
    </row>
    <row r="231" spans="1:9">
      <c r="A231"/>
      <c r="B231"/>
      <c r="C231"/>
      <c r="D231"/>
      <c r="E231"/>
      <c r="F231"/>
      <c r="G231"/>
      <c r="H231"/>
      <c r="I231"/>
    </row>
    <row r="232" spans="1:9">
      <c r="A232"/>
      <c r="B232"/>
      <c r="C232"/>
      <c r="D232"/>
      <c r="E232"/>
      <c r="F232"/>
      <c r="G232"/>
      <c r="H232"/>
      <c r="I232"/>
    </row>
    <row r="233" spans="1:9">
      <c r="A233"/>
      <c r="B233"/>
      <c r="C233"/>
      <c r="D233"/>
      <c r="E233"/>
      <c r="F233"/>
      <c r="G233"/>
      <c r="H233"/>
      <c r="I233"/>
    </row>
    <row r="234" spans="1:9">
      <c r="A234"/>
      <c r="B234"/>
      <c r="C234"/>
      <c r="D234"/>
      <c r="E234"/>
      <c r="F234"/>
      <c r="G234"/>
      <c r="H234"/>
      <c r="I234"/>
    </row>
    <row r="235" spans="1:9">
      <c r="A235"/>
      <c r="B235"/>
      <c r="C235"/>
      <c r="D235"/>
      <c r="E235"/>
      <c r="F235"/>
      <c r="G235"/>
      <c r="H235"/>
      <c r="I235"/>
    </row>
    <row r="236" spans="1:9">
      <c r="A236"/>
      <c r="B236"/>
      <c r="C236"/>
      <c r="D236"/>
      <c r="E236"/>
      <c r="F236"/>
      <c r="G236"/>
      <c r="H236"/>
      <c r="I236"/>
    </row>
    <row r="237" spans="1:9">
      <c r="A237"/>
      <c r="B237"/>
      <c r="C237"/>
      <c r="D237"/>
      <c r="E237"/>
      <c r="F237"/>
      <c r="G237"/>
      <c r="H237"/>
      <c r="I237"/>
    </row>
    <row r="238" spans="1:9">
      <c r="A238"/>
      <c r="B238"/>
      <c r="C238"/>
      <c r="D238"/>
      <c r="E238"/>
      <c r="F238"/>
      <c r="G238"/>
      <c r="H238"/>
      <c r="I238"/>
    </row>
    <row r="239" spans="1:9">
      <c r="A239"/>
      <c r="B239"/>
      <c r="C239"/>
      <c r="D239"/>
      <c r="E239"/>
      <c r="F239"/>
      <c r="G239"/>
      <c r="H239"/>
      <c r="I239"/>
    </row>
    <row r="240" spans="1:9">
      <c r="A240"/>
      <c r="B240"/>
      <c r="C240"/>
      <c r="D240"/>
      <c r="E240"/>
      <c r="F240"/>
      <c r="G240"/>
      <c r="H240"/>
      <c r="I240"/>
    </row>
    <row r="241" spans="1:9">
      <c r="A241"/>
      <c r="B241"/>
      <c r="C241"/>
      <c r="D241"/>
      <c r="E241"/>
      <c r="F241"/>
      <c r="G241"/>
      <c r="H241"/>
      <c r="I241"/>
    </row>
    <row r="242" spans="1:9">
      <c r="A242"/>
      <c r="B242"/>
      <c r="C242"/>
      <c r="D242"/>
      <c r="E242"/>
      <c r="F242"/>
      <c r="G242"/>
      <c r="H242"/>
      <c r="I242"/>
    </row>
    <row r="243" spans="1:9">
      <c r="A243"/>
      <c r="B243"/>
      <c r="C243"/>
      <c r="D243"/>
      <c r="E243"/>
      <c r="F243"/>
      <c r="G243"/>
      <c r="H243"/>
      <c r="I243"/>
    </row>
    <row r="244" spans="1:9">
      <c r="A244"/>
      <c r="B244"/>
      <c r="C244"/>
      <c r="D244"/>
      <c r="E244"/>
      <c r="F244"/>
      <c r="G244"/>
      <c r="H244"/>
      <c r="I244"/>
    </row>
    <row r="245" spans="1:9">
      <c r="A245"/>
      <c r="B245"/>
      <c r="C245"/>
      <c r="D245"/>
      <c r="E245"/>
      <c r="F245"/>
      <c r="G245"/>
      <c r="H245"/>
      <c r="I245"/>
    </row>
    <row r="246" spans="1:9">
      <c r="A246"/>
      <c r="B246"/>
      <c r="C246"/>
      <c r="D246"/>
      <c r="E246"/>
      <c r="F246"/>
      <c r="G246"/>
      <c r="H246"/>
      <c r="I246"/>
    </row>
    <row r="247" spans="1:9">
      <c r="A247"/>
      <c r="B247"/>
      <c r="C247"/>
      <c r="D247"/>
      <c r="E247"/>
      <c r="F247"/>
      <c r="G247"/>
      <c r="H247"/>
      <c r="I247"/>
    </row>
    <row r="248" spans="1:9">
      <c r="A248"/>
      <c r="B248"/>
      <c r="C248"/>
      <c r="D248"/>
      <c r="E248"/>
      <c r="F248"/>
      <c r="G248"/>
      <c r="H248"/>
      <c r="I248"/>
    </row>
    <row r="249" spans="1:9">
      <c r="A249"/>
      <c r="B249"/>
      <c r="C249"/>
      <c r="D249"/>
      <c r="E249"/>
      <c r="F249"/>
      <c r="G249"/>
      <c r="H249"/>
      <c r="I249"/>
    </row>
    <row r="250" spans="1:9">
      <c r="A250"/>
      <c r="B250"/>
      <c r="C250"/>
      <c r="D250"/>
      <c r="E250"/>
      <c r="F250"/>
      <c r="G250"/>
      <c r="H250"/>
      <c r="I250"/>
    </row>
    <row r="251" spans="1:9">
      <c r="A251"/>
      <c r="B251"/>
      <c r="C251"/>
      <c r="D251"/>
      <c r="E251"/>
      <c r="F251"/>
      <c r="G251"/>
      <c r="H251"/>
      <c r="I251"/>
    </row>
    <row r="252" spans="1:9">
      <c r="A252"/>
      <c r="B252"/>
      <c r="C252"/>
      <c r="D252"/>
      <c r="E252"/>
      <c r="F252"/>
      <c r="G252"/>
      <c r="H252"/>
      <c r="I252"/>
    </row>
    <row r="253" spans="1:9">
      <c r="A253"/>
      <c r="B253"/>
      <c r="C253"/>
      <c r="D253"/>
      <c r="E253"/>
      <c r="F253"/>
      <c r="G253"/>
      <c r="H253"/>
      <c r="I253"/>
    </row>
    <row r="254" spans="1:9">
      <c r="A254"/>
      <c r="B254"/>
      <c r="C254"/>
      <c r="D254"/>
      <c r="E254"/>
      <c r="F254"/>
      <c r="G254"/>
      <c r="H254"/>
      <c r="I254"/>
    </row>
    <row r="255" spans="1:9">
      <c r="A255"/>
      <c r="B255"/>
      <c r="C255"/>
      <c r="D255"/>
      <c r="E255"/>
      <c r="F255"/>
      <c r="G255"/>
      <c r="H255"/>
      <c r="I255"/>
    </row>
    <row r="256" spans="1:9">
      <c r="A256"/>
      <c r="B256"/>
      <c r="C256"/>
      <c r="D256"/>
      <c r="E256"/>
      <c r="F256"/>
      <c r="G256"/>
      <c r="H256"/>
      <c r="I256"/>
    </row>
    <row r="257" spans="1:9">
      <c r="A257"/>
      <c r="B257"/>
      <c r="C257"/>
      <c r="D257"/>
      <c r="E257"/>
      <c r="F257"/>
      <c r="G257"/>
      <c r="H257"/>
      <c r="I257"/>
    </row>
    <row r="258" spans="1:9">
      <c r="A258"/>
      <c r="B258"/>
      <c r="C258"/>
      <c r="D258"/>
      <c r="E258"/>
      <c r="F258"/>
      <c r="G258"/>
      <c r="H258"/>
      <c r="I258"/>
    </row>
    <row r="259" spans="1:9">
      <c r="A259"/>
      <c r="B259"/>
      <c r="C259"/>
      <c r="D259"/>
      <c r="E259"/>
      <c r="F259"/>
      <c r="G259"/>
      <c r="H259"/>
      <c r="I259"/>
    </row>
    <row r="260" spans="1:9">
      <c r="A260"/>
      <c r="B260"/>
      <c r="C260"/>
      <c r="D260"/>
      <c r="E260"/>
      <c r="F260"/>
      <c r="G260"/>
      <c r="H260"/>
      <c r="I260"/>
    </row>
    <row r="261" spans="1:9">
      <c r="A261"/>
      <c r="B261"/>
      <c r="C261"/>
      <c r="D261"/>
      <c r="E261"/>
      <c r="F261"/>
      <c r="G261"/>
      <c r="H261"/>
      <c r="I261"/>
    </row>
    <row r="262" spans="1:9">
      <c r="A262"/>
      <c r="B262"/>
      <c r="C262"/>
      <c r="D262"/>
      <c r="E262"/>
      <c r="F262"/>
      <c r="G262"/>
      <c r="H262"/>
      <c r="I262"/>
    </row>
    <row r="263" spans="1:9">
      <c r="A263"/>
      <c r="B263"/>
      <c r="C263"/>
      <c r="D263"/>
      <c r="E263"/>
      <c r="F263"/>
      <c r="G263"/>
      <c r="H263"/>
      <c r="I263"/>
    </row>
    <row r="264" spans="1:9">
      <c r="A264"/>
      <c r="B264"/>
      <c r="C264"/>
      <c r="D264"/>
      <c r="E264"/>
      <c r="F264"/>
      <c r="G264"/>
      <c r="H264"/>
      <c r="I264"/>
    </row>
    <row r="265" spans="1:9">
      <c r="A265"/>
      <c r="B265"/>
      <c r="C265"/>
      <c r="D265"/>
      <c r="E265"/>
      <c r="F265"/>
      <c r="G265"/>
      <c r="H265"/>
      <c r="I265"/>
    </row>
    <row r="266" spans="1:9">
      <c r="A266"/>
      <c r="B266"/>
      <c r="C266"/>
      <c r="D266"/>
      <c r="E266"/>
      <c r="F266"/>
      <c r="G266"/>
      <c r="H266"/>
      <c r="I266"/>
    </row>
    <row r="267" spans="1:9">
      <c r="A267"/>
      <c r="B267"/>
      <c r="C267"/>
      <c r="D267"/>
      <c r="E267"/>
      <c r="F267"/>
      <c r="G267"/>
      <c r="H267"/>
      <c r="I267"/>
    </row>
    <row r="268" spans="1:9">
      <c r="A268"/>
      <c r="B268"/>
      <c r="C268"/>
      <c r="D268"/>
      <c r="E268"/>
      <c r="F268"/>
      <c r="G268"/>
      <c r="H268"/>
      <c r="I268"/>
    </row>
    <row r="269" spans="1:9">
      <c r="A269"/>
      <c r="B269"/>
      <c r="C269"/>
      <c r="D269"/>
      <c r="E269"/>
      <c r="F269"/>
      <c r="G269"/>
      <c r="H269"/>
      <c r="I269"/>
    </row>
    <row r="270" spans="1:9">
      <c r="A270"/>
      <c r="B270"/>
      <c r="C270"/>
      <c r="D270"/>
      <c r="E270"/>
      <c r="F270"/>
      <c r="G270"/>
      <c r="H270"/>
      <c r="I270"/>
    </row>
    <row r="271" spans="1:9">
      <c r="A271"/>
      <c r="B271"/>
      <c r="C271"/>
      <c r="D271"/>
      <c r="E271"/>
      <c r="F271"/>
      <c r="G271"/>
      <c r="H271"/>
      <c r="I271"/>
    </row>
    <row r="272" spans="1:9">
      <c r="A272"/>
      <c r="B272"/>
      <c r="C272"/>
      <c r="D272"/>
      <c r="E272"/>
      <c r="F272"/>
      <c r="G272"/>
      <c r="H272"/>
      <c r="I272"/>
    </row>
    <row r="273" spans="1:9">
      <c r="A273"/>
      <c r="B273"/>
      <c r="C273"/>
      <c r="D273"/>
      <c r="E273"/>
      <c r="F273"/>
      <c r="G273"/>
      <c r="H273"/>
      <c r="I273"/>
    </row>
    <row r="274" spans="1:9">
      <c r="A274"/>
      <c r="B274"/>
      <c r="C274"/>
      <c r="D274"/>
      <c r="E274"/>
      <c r="F274"/>
      <c r="G274"/>
      <c r="H274"/>
      <c r="I274"/>
    </row>
    <row r="275" spans="1:9">
      <c r="A275"/>
      <c r="B275"/>
      <c r="C275"/>
      <c r="D275"/>
      <c r="E275"/>
      <c r="F275"/>
      <c r="G275"/>
      <c r="H275"/>
      <c r="I275"/>
    </row>
    <row r="276" spans="1:9">
      <c r="A276"/>
      <c r="B276"/>
      <c r="C276"/>
      <c r="D276"/>
      <c r="E276"/>
      <c r="F276"/>
      <c r="G276"/>
      <c r="H276"/>
      <c r="I276"/>
    </row>
    <row r="277" spans="1:9">
      <c r="A277"/>
      <c r="B277"/>
      <c r="C277"/>
      <c r="D277"/>
      <c r="E277"/>
      <c r="F277"/>
      <c r="G277"/>
      <c r="H277"/>
      <c r="I277"/>
    </row>
    <row r="278" spans="1:9">
      <c r="A278"/>
      <c r="B278"/>
      <c r="C278"/>
      <c r="D278"/>
      <c r="E278"/>
      <c r="F278"/>
      <c r="G278"/>
      <c r="H278"/>
      <c r="I278"/>
    </row>
    <row r="279" spans="1:9">
      <c r="A279"/>
      <c r="B279"/>
      <c r="C279"/>
      <c r="D279"/>
      <c r="E279"/>
      <c r="F279"/>
      <c r="G279"/>
      <c r="H279"/>
      <c r="I279"/>
    </row>
    <row r="280" spans="1:9">
      <c r="A280"/>
      <c r="B280"/>
      <c r="C280"/>
      <c r="D280"/>
      <c r="E280"/>
      <c r="F280"/>
      <c r="G280"/>
      <c r="H280"/>
      <c r="I280"/>
    </row>
    <row r="281" spans="1:9">
      <c r="A281"/>
      <c r="B281"/>
      <c r="C281"/>
      <c r="D281"/>
      <c r="E281"/>
      <c r="F281"/>
      <c r="G281"/>
      <c r="H281"/>
      <c r="I281"/>
    </row>
    <row r="282" spans="1:9">
      <c r="A282"/>
      <c r="B282"/>
      <c r="C282"/>
      <c r="D282"/>
      <c r="E282"/>
      <c r="F282"/>
      <c r="G282"/>
      <c r="H282"/>
      <c r="I282"/>
    </row>
    <row r="283" spans="1:9">
      <c r="A283"/>
      <c r="B283"/>
      <c r="C283"/>
      <c r="D283"/>
      <c r="E283"/>
      <c r="F283"/>
      <c r="G283"/>
      <c r="H283"/>
      <c r="I283"/>
    </row>
    <row r="284" spans="1:9">
      <c r="A284"/>
      <c r="B284"/>
      <c r="C284"/>
      <c r="D284"/>
      <c r="E284"/>
      <c r="F284"/>
      <c r="G284"/>
      <c r="H284"/>
      <c r="I284"/>
    </row>
    <row r="285" spans="1:9">
      <c r="A285"/>
      <c r="B285"/>
      <c r="C285"/>
      <c r="D285"/>
      <c r="E285"/>
      <c r="F285"/>
      <c r="G285"/>
      <c r="H285"/>
      <c r="I285"/>
    </row>
    <row r="286" spans="1:9">
      <c r="A286"/>
      <c r="B286"/>
      <c r="C286"/>
      <c r="D286"/>
      <c r="E286"/>
      <c r="F286"/>
      <c r="G286"/>
      <c r="H286"/>
      <c r="I286"/>
    </row>
    <row r="287" spans="1:9">
      <c r="A287"/>
      <c r="B287"/>
      <c r="C287"/>
      <c r="D287"/>
      <c r="E287"/>
      <c r="F287"/>
      <c r="G287"/>
      <c r="H287"/>
      <c r="I287"/>
    </row>
    <row r="288" spans="1:9">
      <c r="A288"/>
      <c r="B288"/>
      <c r="C288"/>
      <c r="D288"/>
      <c r="E288"/>
      <c r="F288"/>
      <c r="G288"/>
      <c r="H288"/>
      <c r="I288"/>
    </row>
    <row r="289" spans="1:9">
      <c r="A289"/>
      <c r="B289"/>
      <c r="C289"/>
      <c r="D289"/>
      <c r="E289"/>
      <c r="F289"/>
      <c r="G289"/>
      <c r="H289"/>
      <c r="I289"/>
    </row>
    <row r="290" spans="1:9">
      <c r="A290"/>
      <c r="B290"/>
      <c r="C290"/>
      <c r="D290"/>
      <c r="E290"/>
      <c r="F290"/>
      <c r="G290"/>
      <c r="H290"/>
      <c r="I290"/>
    </row>
    <row r="291" spans="1:9">
      <c r="A291"/>
      <c r="B291"/>
      <c r="C291"/>
      <c r="D291"/>
      <c r="E291"/>
      <c r="F291"/>
      <c r="G291"/>
      <c r="H291"/>
      <c r="I291"/>
    </row>
    <row r="292" spans="1:9">
      <c r="A292"/>
      <c r="B292"/>
      <c r="C292"/>
      <c r="D292"/>
      <c r="E292"/>
      <c r="F292"/>
      <c r="G292"/>
      <c r="H292"/>
      <c r="I292"/>
    </row>
    <row r="293" spans="1:9">
      <c r="A293"/>
      <c r="B293"/>
      <c r="C293"/>
      <c r="D293"/>
      <c r="E293"/>
      <c r="F293"/>
      <c r="G293"/>
      <c r="H293"/>
      <c r="I293"/>
    </row>
    <row r="294" spans="1:9">
      <c r="A294"/>
      <c r="B294"/>
      <c r="C294"/>
      <c r="D294"/>
      <c r="E294"/>
      <c r="F294"/>
      <c r="G294"/>
      <c r="H294"/>
      <c r="I294"/>
    </row>
    <row r="295" spans="1:9">
      <c r="A295"/>
      <c r="B295"/>
      <c r="C295"/>
      <c r="D295"/>
      <c r="E295"/>
      <c r="F295"/>
      <c r="G295"/>
      <c r="H295"/>
      <c r="I295"/>
    </row>
    <row r="296" spans="1:9">
      <c r="A296"/>
      <c r="B296"/>
      <c r="C296"/>
      <c r="D296"/>
      <c r="E296"/>
      <c r="F296"/>
      <c r="G296"/>
      <c r="H296"/>
      <c r="I296"/>
    </row>
    <row r="297" spans="1:9">
      <c r="A297"/>
      <c r="B297"/>
      <c r="C297"/>
      <c r="D297"/>
      <c r="E297"/>
      <c r="F297"/>
      <c r="G297"/>
      <c r="H297"/>
      <c r="I297"/>
    </row>
    <row r="298" spans="1:9">
      <c r="A298"/>
      <c r="B298"/>
      <c r="C298"/>
      <c r="D298"/>
      <c r="E298"/>
      <c r="F298"/>
      <c r="G298"/>
      <c r="H298"/>
      <c r="I298"/>
    </row>
    <row r="299" spans="1:9">
      <c r="A299"/>
      <c r="B299"/>
      <c r="C299"/>
      <c r="D299"/>
      <c r="E299"/>
      <c r="F299"/>
      <c r="G299"/>
      <c r="H299"/>
      <c r="I299"/>
    </row>
    <row r="300" spans="1:9">
      <c r="A300"/>
      <c r="B300"/>
      <c r="C300"/>
      <c r="D300"/>
      <c r="E300"/>
      <c r="F300"/>
      <c r="G300"/>
      <c r="H300"/>
      <c r="I300"/>
    </row>
    <row r="301" spans="1:9">
      <c r="A301"/>
      <c r="B301"/>
      <c r="C301"/>
      <c r="D301"/>
      <c r="E301"/>
      <c r="F301"/>
      <c r="G301"/>
      <c r="H301"/>
      <c r="I301"/>
    </row>
    <row r="302" spans="1:9">
      <c r="A302"/>
      <c r="B302"/>
      <c r="C302"/>
      <c r="D302"/>
      <c r="E302"/>
      <c r="F302"/>
      <c r="G302"/>
      <c r="H302"/>
      <c r="I302"/>
    </row>
    <row r="303" spans="1:9">
      <c r="A303"/>
      <c r="B303"/>
      <c r="C303"/>
      <c r="D303"/>
      <c r="E303"/>
      <c r="F303"/>
      <c r="G303"/>
      <c r="H303"/>
      <c r="I303"/>
    </row>
    <row r="304" spans="1:9">
      <c r="A304"/>
      <c r="B304"/>
      <c r="C304"/>
      <c r="D304"/>
      <c r="E304"/>
      <c r="F304"/>
      <c r="G304"/>
      <c r="H304"/>
      <c r="I304"/>
    </row>
    <row r="305" spans="1:9">
      <c r="A305"/>
      <c r="B305"/>
      <c r="C305"/>
      <c r="D305"/>
      <c r="E305"/>
      <c r="F305"/>
      <c r="G305"/>
      <c r="H305"/>
      <c r="I305"/>
    </row>
    <row r="306" spans="1:9">
      <c r="A306"/>
      <c r="B306"/>
      <c r="C306"/>
      <c r="D306"/>
      <c r="E306"/>
      <c r="F306"/>
      <c r="G306"/>
      <c r="H306"/>
      <c r="I306"/>
    </row>
    <row r="307" spans="1:9">
      <c r="A307"/>
      <c r="B307"/>
      <c r="C307"/>
      <c r="D307"/>
      <c r="E307"/>
      <c r="F307"/>
      <c r="G307"/>
      <c r="H307"/>
      <c r="I307"/>
    </row>
    <row r="308" spans="1:9">
      <c r="A308"/>
      <c r="B308"/>
      <c r="C308"/>
      <c r="D308"/>
      <c r="E308"/>
      <c r="F308"/>
      <c r="G308"/>
      <c r="H308"/>
      <c r="I308"/>
    </row>
    <row r="309" spans="1:9">
      <c r="A309"/>
      <c r="B309"/>
      <c r="C309"/>
      <c r="D309"/>
      <c r="E309"/>
      <c r="F309"/>
      <c r="G309"/>
      <c r="H309"/>
      <c r="I309"/>
    </row>
    <row r="310" spans="1:9">
      <c r="A310"/>
      <c r="B310"/>
      <c r="C310"/>
      <c r="D310"/>
      <c r="E310"/>
      <c r="F310"/>
      <c r="G310"/>
      <c r="H310"/>
      <c r="I310"/>
    </row>
    <row r="311" spans="1:9">
      <c r="A311"/>
      <c r="B311"/>
      <c r="C311"/>
      <c r="D311"/>
      <c r="E311"/>
      <c r="F311"/>
      <c r="G311"/>
      <c r="H311"/>
      <c r="I311"/>
    </row>
    <row r="312" spans="1:9">
      <c r="A312"/>
      <c r="B312"/>
      <c r="C312"/>
      <c r="D312"/>
      <c r="E312"/>
      <c r="F312"/>
      <c r="G312"/>
      <c r="H312"/>
      <c r="I312"/>
    </row>
    <row r="313" spans="1:9">
      <c r="A313"/>
      <c r="B313"/>
      <c r="C313"/>
      <c r="D313"/>
      <c r="E313"/>
      <c r="F313"/>
      <c r="G313"/>
      <c r="H313"/>
      <c r="I313"/>
    </row>
    <row r="314" spans="1:9">
      <c r="A314"/>
      <c r="B314"/>
      <c r="C314"/>
      <c r="D314"/>
      <c r="E314"/>
      <c r="F314"/>
      <c r="G314"/>
      <c r="H314"/>
      <c r="I314"/>
    </row>
    <row r="315" spans="1:9">
      <c r="A315"/>
      <c r="B315"/>
      <c r="C315"/>
      <c r="D315"/>
      <c r="E315"/>
      <c r="F315"/>
      <c r="G315"/>
      <c r="H315"/>
      <c r="I315"/>
    </row>
    <row r="316" spans="1:9">
      <c r="A316"/>
      <c r="B316"/>
      <c r="C316"/>
      <c r="D316"/>
      <c r="E316"/>
      <c r="F316"/>
      <c r="G316"/>
      <c r="H316"/>
      <c r="I316"/>
    </row>
    <row r="317" spans="1:9">
      <c r="A317"/>
      <c r="B317"/>
      <c r="C317"/>
      <c r="D317"/>
      <c r="E317"/>
      <c r="F317"/>
      <c r="G317"/>
      <c r="H317"/>
      <c r="I317"/>
    </row>
    <row r="318" spans="1:9">
      <c r="A318"/>
      <c r="B318"/>
      <c r="C318"/>
      <c r="D318"/>
      <c r="E318"/>
      <c r="F318"/>
      <c r="G318"/>
      <c r="H318"/>
      <c r="I318"/>
    </row>
    <row r="319" spans="1:9">
      <c r="A319"/>
      <c r="B319"/>
      <c r="C319"/>
      <c r="D319"/>
      <c r="E319"/>
      <c r="F319"/>
      <c r="G319"/>
      <c r="H319"/>
      <c r="I319"/>
    </row>
    <row r="320" spans="1:9">
      <c r="A320"/>
      <c r="B320"/>
      <c r="C320"/>
      <c r="D320"/>
      <c r="E320"/>
      <c r="F320"/>
      <c r="G320"/>
      <c r="H320"/>
      <c r="I320"/>
    </row>
    <row r="321" spans="1:9">
      <c r="A321"/>
      <c r="B321"/>
      <c r="C321"/>
      <c r="D321"/>
      <c r="E321"/>
      <c r="F321"/>
      <c r="G321"/>
      <c r="H321"/>
      <c r="I321"/>
    </row>
    <row r="322" spans="1:9">
      <c r="A322"/>
      <c r="B322"/>
      <c r="C322"/>
      <c r="D322"/>
      <c r="E322"/>
      <c r="F322"/>
      <c r="G322"/>
      <c r="H322"/>
      <c r="I322"/>
    </row>
    <row r="323" spans="1:9">
      <c r="A323"/>
      <c r="B323"/>
      <c r="C323"/>
      <c r="D323"/>
      <c r="E323"/>
      <c r="F323"/>
      <c r="G323"/>
      <c r="H323"/>
      <c r="I323"/>
    </row>
    <row r="324" spans="1:9">
      <c r="A324"/>
      <c r="B324"/>
      <c r="C324"/>
      <c r="D324"/>
      <c r="E324"/>
      <c r="F324"/>
      <c r="G324"/>
      <c r="H324"/>
      <c r="I324"/>
    </row>
    <row r="325" spans="1:9">
      <c r="A325"/>
      <c r="B325"/>
      <c r="C325"/>
      <c r="D325"/>
      <c r="E325"/>
      <c r="F325"/>
      <c r="G325"/>
      <c r="H325"/>
      <c r="I325"/>
    </row>
    <row r="326" spans="1:9">
      <c r="A326"/>
      <c r="B326"/>
      <c r="C326"/>
      <c r="D326"/>
      <c r="E326"/>
      <c r="F326"/>
      <c r="G326"/>
      <c r="H326"/>
      <c r="I326"/>
    </row>
    <row r="327" spans="1:9">
      <c r="A327"/>
      <c r="B327"/>
      <c r="C327"/>
      <c r="D327"/>
      <c r="E327"/>
      <c r="F327"/>
      <c r="G327"/>
      <c r="H327"/>
      <c r="I327"/>
    </row>
    <row r="328" spans="1:9">
      <c r="A328"/>
      <c r="B328"/>
      <c r="C328"/>
      <c r="D328"/>
      <c r="E328"/>
      <c r="F328"/>
      <c r="G328"/>
      <c r="H328"/>
      <c r="I328"/>
    </row>
    <row r="329" spans="1:9">
      <c r="A329"/>
      <c r="B329"/>
      <c r="C329"/>
      <c r="D329"/>
      <c r="E329"/>
      <c r="F329"/>
      <c r="G329"/>
      <c r="H329"/>
      <c r="I329"/>
    </row>
    <row r="330" spans="1:9">
      <c r="A330"/>
      <c r="B330"/>
      <c r="C330"/>
      <c r="D330"/>
      <c r="E330"/>
      <c r="F330"/>
      <c r="G330"/>
      <c r="H330"/>
      <c r="I330"/>
    </row>
    <row r="331" spans="1:9">
      <c r="A331"/>
      <c r="B331"/>
      <c r="C331"/>
      <c r="D331"/>
      <c r="E331"/>
      <c r="F331"/>
      <c r="G331"/>
      <c r="H331"/>
      <c r="I331"/>
    </row>
    <row r="332" spans="1:9">
      <c r="A332"/>
      <c r="B332"/>
      <c r="C332"/>
      <c r="D332"/>
      <c r="E332"/>
      <c r="F332"/>
      <c r="G332"/>
      <c r="H332"/>
      <c r="I332"/>
    </row>
    <row r="333" spans="1:9">
      <c r="A333"/>
      <c r="B333"/>
      <c r="C333"/>
      <c r="D333"/>
      <c r="E333"/>
      <c r="F333"/>
      <c r="G333"/>
      <c r="H333"/>
      <c r="I333"/>
    </row>
    <row r="334" spans="1:9">
      <c r="A334"/>
      <c r="B334"/>
      <c r="C334"/>
      <c r="D334"/>
      <c r="E334"/>
      <c r="F334"/>
      <c r="G334"/>
      <c r="H334"/>
      <c r="I334"/>
    </row>
    <row r="335" spans="1:9">
      <c r="A335"/>
      <c r="B335"/>
      <c r="C335"/>
      <c r="D335"/>
      <c r="E335"/>
      <c r="F335"/>
      <c r="G335"/>
      <c r="H335"/>
      <c r="I335"/>
    </row>
    <row r="336" spans="1:9">
      <c r="A336"/>
      <c r="B336"/>
      <c r="C336"/>
      <c r="D336"/>
      <c r="E336"/>
      <c r="F336"/>
      <c r="G336"/>
      <c r="H336"/>
      <c r="I336"/>
    </row>
    <row r="337" spans="1:9">
      <c r="A337"/>
      <c r="B337"/>
      <c r="C337"/>
      <c r="D337"/>
      <c r="E337"/>
      <c r="F337"/>
      <c r="G337"/>
      <c r="H337"/>
      <c r="I337"/>
    </row>
    <row r="338" spans="1:9">
      <c r="A338"/>
      <c r="B338"/>
      <c r="C338"/>
      <c r="D338"/>
      <c r="E338"/>
      <c r="F338"/>
      <c r="G338"/>
      <c r="H338"/>
      <c r="I338"/>
    </row>
    <row r="339" spans="1:9">
      <c r="A339"/>
      <c r="B339"/>
      <c r="C339"/>
      <c r="D339"/>
      <c r="E339"/>
      <c r="F339"/>
      <c r="G339"/>
      <c r="H339"/>
      <c r="I339"/>
    </row>
    <row r="340" spans="1:9">
      <c r="A340"/>
      <c r="B340"/>
      <c r="C340"/>
      <c r="D340"/>
      <c r="E340"/>
      <c r="F340"/>
      <c r="G340"/>
      <c r="H340"/>
      <c r="I340"/>
    </row>
    <row r="341" spans="1:9">
      <c r="A341"/>
      <c r="B341"/>
      <c r="C341"/>
      <c r="D341"/>
      <c r="E341"/>
      <c r="F341"/>
      <c r="G341"/>
      <c r="H341"/>
      <c r="I341"/>
    </row>
    <row r="342" spans="1:9">
      <c r="A342"/>
      <c r="B342"/>
      <c r="C342"/>
      <c r="D342"/>
      <c r="E342"/>
      <c r="F342"/>
      <c r="G342"/>
      <c r="H342"/>
      <c r="I342"/>
    </row>
    <row r="343" spans="1:9">
      <c r="A343"/>
      <c r="B343"/>
      <c r="C343"/>
      <c r="D343"/>
      <c r="E343"/>
      <c r="F343"/>
      <c r="G343"/>
      <c r="H343"/>
      <c r="I343"/>
    </row>
    <row r="344" spans="1:9">
      <c r="A344"/>
      <c r="B344"/>
      <c r="C344"/>
      <c r="D344"/>
      <c r="E344"/>
      <c r="F344"/>
      <c r="G344"/>
      <c r="H344"/>
      <c r="I344"/>
    </row>
    <row r="345" spans="1:9">
      <c r="A345"/>
      <c r="B345"/>
      <c r="C345"/>
      <c r="D345"/>
      <c r="E345"/>
      <c r="F345"/>
      <c r="G345"/>
      <c r="H345"/>
      <c r="I345"/>
    </row>
    <row r="346" spans="1:9">
      <c r="A346"/>
      <c r="B346"/>
      <c r="C346"/>
      <c r="D346"/>
      <c r="E346"/>
      <c r="F346"/>
      <c r="G346"/>
      <c r="H346"/>
      <c r="I346"/>
    </row>
    <row r="347" spans="1:9">
      <c r="A347"/>
      <c r="B347"/>
      <c r="C347"/>
      <c r="D347"/>
      <c r="E347"/>
      <c r="F347"/>
      <c r="G347"/>
      <c r="H347"/>
      <c r="I347"/>
    </row>
    <row r="348" spans="1:9">
      <c r="A348"/>
      <c r="B348"/>
      <c r="C348"/>
      <c r="D348"/>
      <c r="E348"/>
      <c r="F348"/>
      <c r="G348"/>
      <c r="H348"/>
      <c r="I348"/>
    </row>
    <row r="349" spans="1:9">
      <c r="A349"/>
      <c r="B349"/>
      <c r="C349"/>
      <c r="D349"/>
      <c r="E349"/>
      <c r="F349"/>
      <c r="G349"/>
      <c r="H349"/>
      <c r="I349"/>
    </row>
    <row r="350" spans="1:9">
      <c r="A350"/>
      <c r="B350"/>
      <c r="C350"/>
      <c r="D350"/>
      <c r="E350"/>
      <c r="F350"/>
      <c r="G350"/>
      <c r="H350"/>
      <c r="I350"/>
    </row>
    <row r="351" spans="1:9">
      <c r="A351"/>
      <c r="B351"/>
      <c r="C351"/>
      <c r="D351"/>
      <c r="E351"/>
      <c r="F351"/>
      <c r="G351"/>
      <c r="H351"/>
      <c r="I351"/>
    </row>
    <row r="352" spans="1:9">
      <c r="A352"/>
      <c r="B352"/>
      <c r="C352"/>
      <c r="D352"/>
      <c r="E352"/>
      <c r="F352"/>
      <c r="G352"/>
      <c r="H352"/>
      <c r="I352"/>
    </row>
    <row r="353" spans="1:9">
      <c r="A353"/>
      <c r="B353"/>
      <c r="C353"/>
      <c r="D353"/>
      <c r="E353"/>
      <c r="F353"/>
      <c r="G353"/>
      <c r="H353"/>
      <c r="I353"/>
    </row>
    <row r="354" spans="1:9">
      <c r="A354"/>
      <c r="B354"/>
      <c r="C354"/>
      <c r="D354"/>
      <c r="E354"/>
      <c r="F354"/>
      <c r="G354"/>
      <c r="H354"/>
      <c r="I354"/>
    </row>
    <row r="355" spans="1:9">
      <c r="A355"/>
      <c r="B355"/>
      <c r="C355"/>
      <c r="D355"/>
      <c r="E355"/>
      <c r="F355"/>
      <c r="G355"/>
      <c r="H355"/>
      <c r="I355"/>
    </row>
    <row r="356" spans="1:9">
      <c r="A356"/>
      <c r="B356"/>
      <c r="C356"/>
      <c r="D356"/>
      <c r="E356"/>
      <c r="F356"/>
      <c r="G356"/>
      <c r="H356"/>
      <c r="I356"/>
    </row>
    <row r="357" spans="1:9">
      <c r="A357"/>
      <c r="B357"/>
      <c r="C357"/>
      <c r="D357"/>
      <c r="E357"/>
      <c r="F357"/>
      <c r="G357"/>
      <c r="H357"/>
      <c r="I357"/>
    </row>
    <row r="358" spans="1:9">
      <c r="A358"/>
      <c r="B358"/>
      <c r="C358"/>
      <c r="D358"/>
      <c r="E358"/>
      <c r="F358"/>
      <c r="G358"/>
      <c r="H358"/>
      <c r="I358"/>
    </row>
    <row r="359" spans="1:9">
      <c r="A359"/>
      <c r="B359"/>
      <c r="C359"/>
      <c r="D359"/>
      <c r="E359"/>
      <c r="F359"/>
      <c r="G359"/>
      <c r="H359"/>
      <c r="I359"/>
    </row>
    <row r="360" spans="1:9">
      <c r="A360"/>
      <c r="B360"/>
      <c r="C360"/>
      <c r="D360"/>
      <c r="E360"/>
      <c r="F360"/>
      <c r="G360"/>
      <c r="H360"/>
      <c r="I360"/>
    </row>
    <row r="361" spans="1:9">
      <c r="A361"/>
      <c r="B361"/>
      <c r="C361"/>
      <c r="D361"/>
      <c r="E361"/>
      <c r="F361"/>
      <c r="G361"/>
      <c r="H361"/>
      <c r="I361"/>
    </row>
    <row r="362" spans="1:9">
      <c r="A362"/>
      <c r="B362"/>
      <c r="C362"/>
      <c r="D362"/>
      <c r="E362"/>
      <c r="F362"/>
      <c r="G362"/>
      <c r="H362"/>
      <c r="I362"/>
    </row>
    <row r="363" spans="1:9">
      <c r="A363"/>
      <c r="B363"/>
      <c r="C363"/>
      <c r="D363"/>
      <c r="E363"/>
      <c r="F363"/>
      <c r="G363"/>
      <c r="H363"/>
      <c r="I363"/>
    </row>
    <row r="364" spans="1:9">
      <c r="A364"/>
      <c r="B364"/>
      <c r="C364"/>
      <c r="D364"/>
      <c r="E364"/>
      <c r="F364"/>
      <c r="G364"/>
      <c r="H364"/>
      <c r="I364"/>
    </row>
    <row r="365" spans="1:9">
      <c r="A365"/>
      <c r="B365"/>
      <c r="C365"/>
      <c r="D365"/>
      <c r="E365"/>
      <c r="F365"/>
      <c r="G365"/>
      <c r="H365"/>
      <c r="I365"/>
    </row>
    <row r="366" spans="1:9">
      <c r="A366"/>
      <c r="B366"/>
      <c r="C366"/>
      <c r="D366"/>
      <c r="E366"/>
      <c r="F366"/>
      <c r="G366"/>
      <c r="H366"/>
      <c r="I366"/>
    </row>
    <row r="367" spans="1:9">
      <c r="A367"/>
      <c r="B367"/>
      <c r="C367"/>
      <c r="D367"/>
      <c r="E367"/>
      <c r="F367"/>
      <c r="G367"/>
      <c r="H367"/>
      <c r="I367"/>
    </row>
    <row r="368" spans="1:9">
      <c r="A368"/>
      <c r="B368"/>
      <c r="C368"/>
      <c r="D368"/>
      <c r="E368"/>
      <c r="F368"/>
      <c r="G368"/>
      <c r="H368"/>
      <c r="I368"/>
    </row>
    <row r="369" spans="1:9">
      <c r="A369"/>
      <c r="B369"/>
      <c r="C369"/>
      <c r="D369"/>
      <c r="E369"/>
      <c r="F369"/>
      <c r="G369"/>
      <c r="H369"/>
      <c r="I369"/>
    </row>
    <row r="370" spans="1:9">
      <c r="A370"/>
      <c r="B370"/>
      <c r="C370"/>
      <c r="D370"/>
      <c r="E370"/>
      <c r="F370"/>
      <c r="G370"/>
      <c r="H370"/>
      <c r="I370"/>
    </row>
    <row r="371" spans="1:9">
      <c r="A371"/>
      <c r="B371"/>
      <c r="C371"/>
      <c r="D371"/>
      <c r="E371"/>
      <c r="F371"/>
      <c r="G371"/>
      <c r="H371"/>
      <c r="I371"/>
    </row>
    <row r="372" spans="1:9">
      <c r="A372"/>
      <c r="B372"/>
      <c r="C372"/>
      <c r="D372"/>
      <c r="E372"/>
      <c r="F372"/>
      <c r="G372"/>
      <c r="H372"/>
      <c r="I372"/>
    </row>
    <row r="373" spans="1:9">
      <c r="A373"/>
      <c r="B373"/>
      <c r="C373"/>
      <c r="D373"/>
      <c r="E373"/>
      <c r="F373"/>
      <c r="G373"/>
      <c r="H373"/>
      <c r="I373"/>
    </row>
    <row r="374" spans="1:9">
      <c r="A374"/>
      <c r="B374"/>
      <c r="C374"/>
      <c r="D374"/>
      <c r="E374"/>
      <c r="F374"/>
      <c r="G374"/>
      <c r="H374"/>
      <c r="I374"/>
    </row>
    <row r="375" spans="1:9">
      <c r="A375"/>
      <c r="B375"/>
      <c r="C375"/>
      <c r="D375"/>
      <c r="E375"/>
      <c r="F375"/>
      <c r="G375"/>
      <c r="H375"/>
      <c r="I375"/>
    </row>
    <row r="376" spans="1:9">
      <c r="A376"/>
      <c r="B376"/>
      <c r="C376"/>
      <c r="D376"/>
      <c r="E376"/>
      <c r="F376"/>
      <c r="G376"/>
      <c r="H376"/>
      <c r="I376"/>
    </row>
    <row r="377" spans="1:9">
      <c r="A377"/>
      <c r="B377"/>
      <c r="C377"/>
      <c r="D377"/>
      <c r="E377"/>
      <c r="F377"/>
      <c r="G377"/>
      <c r="H377"/>
      <c r="I377"/>
    </row>
    <row r="378" spans="1:9">
      <c r="A378"/>
      <c r="B378"/>
      <c r="C378"/>
      <c r="D378"/>
      <c r="E378"/>
      <c r="F378"/>
      <c r="G378"/>
      <c r="H378"/>
      <c r="I378"/>
    </row>
    <row r="379" spans="1:9">
      <c r="A379"/>
      <c r="B379"/>
      <c r="C379"/>
      <c r="D379"/>
      <c r="E379"/>
      <c r="F379"/>
      <c r="G379"/>
      <c r="H379"/>
      <c r="I379"/>
    </row>
    <row r="380" spans="1:9">
      <c r="A380"/>
      <c r="B380"/>
      <c r="C380"/>
      <c r="D380"/>
      <c r="E380"/>
      <c r="F380"/>
      <c r="G380"/>
      <c r="H380"/>
      <c r="I380"/>
    </row>
    <row r="381" spans="1:9">
      <c r="A381"/>
      <c r="B381"/>
      <c r="C381"/>
      <c r="D381"/>
      <c r="E381"/>
      <c r="F381"/>
      <c r="G381"/>
      <c r="H381"/>
      <c r="I381"/>
    </row>
    <row r="382" spans="1:9">
      <c r="A382"/>
      <c r="B382"/>
      <c r="C382"/>
      <c r="D382"/>
      <c r="E382"/>
      <c r="F382"/>
      <c r="G382"/>
      <c r="H382"/>
      <c r="I382"/>
    </row>
    <row r="383" spans="1:9">
      <c r="A383"/>
      <c r="B383"/>
      <c r="C383"/>
      <c r="D383"/>
      <c r="E383"/>
      <c r="F383"/>
      <c r="G383"/>
      <c r="H383"/>
      <c r="I383"/>
    </row>
    <row r="384" spans="1:9">
      <c r="A384"/>
      <c r="B384"/>
      <c r="C384"/>
      <c r="D384"/>
      <c r="E384"/>
      <c r="F384"/>
      <c r="G384"/>
      <c r="H384"/>
      <c r="I384"/>
    </row>
    <row r="385" spans="1:9">
      <c r="A385"/>
      <c r="B385"/>
      <c r="C385"/>
      <c r="D385"/>
      <c r="E385"/>
      <c r="F385"/>
      <c r="G385"/>
      <c r="H385"/>
      <c r="I385"/>
    </row>
    <row r="386" spans="1:9">
      <c r="A386"/>
      <c r="B386"/>
      <c r="C386"/>
      <c r="D386"/>
      <c r="E386"/>
      <c r="F386"/>
      <c r="G386"/>
      <c r="H386"/>
      <c r="I386"/>
    </row>
    <row r="387" spans="1:9">
      <c r="A387"/>
      <c r="B387"/>
      <c r="C387"/>
      <c r="D387"/>
      <c r="E387"/>
      <c r="F387"/>
      <c r="G387"/>
      <c r="H387"/>
      <c r="I387"/>
    </row>
    <row r="388" spans="1:9">
      <c r="A388"/>
      <c r="B388"/>
      <c r="C388"/>
      <c r="D388"/>
      <c r="E388"/>
      <c r="F388"/>
      <c r="G388"/>
      <c r="H388"/>
      <c r="I388"/>
    </row>
    <row r="389" spans="1:9">
      <c r="A389"/>
      <c r="B389"/>
      <c r="C389"/>
      <c r="D389"/>
      <c r="E389"/>
      <c r="F389"/>
      <c r="G389"/>
      <c r="H389"/>
      <c r="I389"/>
    </row>
    <row r="390" spans="1:9">
      <c r="A390"/>
      <c r="B390"/>
      <c r="C390"/>
      <c r="D390"/>
      <c r="E390"/>
      <c r="F390"/>
      <c r="G390"/>
      <c r="H390"/>
      <c r="I390"/>
    </row>
    <row r="391" spans="1:9">
      <c r="A391"/>
      <c r="B391"/>
      <c r="C391"/>
      <c r="D391"/>
      <c r="E391"/>
      <c r="F391"/>
      <c r="G391"/>
      <c r="H391"/>
      <c r="I391"/>
    </row>
    <row r="392" spans="1:9">
      <c r="A392"/>
      <c r="B392"/>
      <c r="C392"/>
      <c r="D392"/>
      <c r="E392"/>
      <c r="F392"/>
      <c r="G392"/>
      <c r="H392"/>
      <c r="I392"/>
    </row>
    <row r="393" spans="1:9">
      <c r="A393"/>
      <c r="B393"/>
      <c r="C393"/>
      <c r="D393"/>
      <c r="E393"/>
      <c r="F393"/>
      <c r="G393"/>
      <c r="H393"/>
      <c r="I393"/>
    </row>
    <row r="394" spans="1:9">
      <c r="A394"/>
      <c r="B394"/>
      <c r="C394"/>
      <c r="D394"/>
      <c r="E394"/>
      <c r="F394"/>
      <c r="G394"/>
      <c r="H394"/>
      <c r="I394"/>
    </row>
    <row r="395" spans="1:9">
      <c r="A395"/>
      <c r="B395"/>
      <c r="C395"/>
      <c r="D395"/>
      <c r="E395"/>
      <c r="F395"/>
      <c r="G395"/>
      <c r="H395"/>
      <c r="I395"/>
    </row>
    <row r="396" spans="1:9">
      <c r="A396"/>
      <c r="B396"/>
      <c r="C396"/>
      <c r="D396"/>
      <c r="E396"/>
      <c r="F396"/>
      <c r="G396"/>
      <c r="H396"/>
      <c r="I396"/>
    </row>
    <row r="397" spans="1:9">
      <c r="A397"/>
      <c r="B397"/>
      <c r="C397"/>
      <c r="D397"/>
      <c r="E397"/>
      <c r="F397"/>
      <c r="G397"/>
      <c r="H397"/>
      <c r="I397"/>
    </row>
    <row r="398" spans="1:9">
      <c r="A398"/>
      <c r="B398"/>
      <c r="C398"/>
      <c r="D398"/>
      <c r="E398"/>
      <c r="F398"/>
      <c r="G398"/>
      <c r="H398"/>
      <c r="I398"/>
    </row>
    <row r="399" spans="1:9">
      <c r="A399"/>
      <c r="B399"/>
      <c r="C399"/>
      <c r="D399"/>
      <c r="E399"/>
      <c r="F399"/>
      <c r="G399"/>
      <c r="H399"/>
      <c r="I399"/>
    </row>
    <row r="400" spans="1:9">
      <c r="A400"/>
      <c r="B400"/>
      <c r="C400"/>
      <c r="D400"/>
      <c r="E400"/>
      <c r="F400"/>
      <c r="G400"/>
      <c r="H400"/>
      <c r="I400"/>
    </row>
    <row r="401" spans="1:9">
      <c r="A401"/>
      <c r="B401"/>
      <c r="C401"/>
      <c r="D401"/>
      <c r="E401"/>
      <c r="F401"/>
      <c r="G401"/>
      <c r="H401"/>
      <c r="I401"/>
    </row>
    <row r="402" spans="1:9">
      <c r="A402"/>
      <c r="B402"/>
      <c r="C402"/>
      <c r="D402"/>
      <c r="E402"/>
      <c r="F402"/>
      <c r="G402"/>
      <c r="H402"/>
      <c r="I402"/>
    </row>
    <row r="403" spans="1:9">
      <c r="A403"/>
      <c r="B403"/>
      <c r="C403"/>
      <c r="D403"/>
      <c r="E403"/>
      <c r="F403"/>
      <c r="G403"/>
      <c r="H403"/>
      <c r="I403"/>
    </row>
    <row r="404" spans="1:9">
      <c r="A404"/>
      <c r="B404"/>
      <c r="C404"/>
      <c r="D404"/>
      <c r="E404"/>
      <c r="F404"/>
      <c r="G404"/>
      <c r="H404"/>
      <c r="I404"/>
    </row>
    <row r="405" spans="1:9">
      <c r="A405"/>
      <c r="B405"/>
      <c r="C405"/>
      <c r="D405"/>
      <c r="E405"/>
      <c r="F405"/>
      <c r="G405"/>
      <c r="H405"/>
      <c r="I405"/>
    </row>
    <row r="406" spans="1:9">
      <c r="A406"/>
      <c r="B406"/>
      <c r="C406"/>
      <c r="D406"/>
      <c r="E406"/>
      <c r="F406"/>
      <c r="G406"/>
      <c r="H406"/>
      <c r="I406"/>
    </row>
    <row r="407" spans="1:9">
      <c r="A407"/>
      <c r="B407"/>
      <c r="C407"/>
      <c r="D407"/>
      <c r="E407"/>
      <c r="F407"/>
      <c r="G407"/>
      <c r="H407"/>
      <c r="I407"/>
    </row>
    <row r="408" spans="1:9">
      <c r="A408"/>
      <c r="B408"/>
      <c r="C408"/>
      <c r="D408"/>
      <c r="E408"/>
      <c r="F408"/>
      <c r="G408"/>
      <c r="H408"/>
      <c r="I408"/>
    </row>
    <row r="409" spans="1:9">
      <c r="A409"/>
      <c r="B409"/>
      <c r="C409"/>
      <c r="D409"/>
      <c r="E409"/>
      <c r="F409"/>
      <c r="G409"/>
      <c r="H409"/>
      <c r="I409"/>
    </row>
    <row r="410" spans="1:9">
      <c r="A410"/>
      <c r="B410"/>
      <c r="C410"/>
      <c r="D410"/>
      <c r="E410"/>
      <c r="F410"/>
      <c r="G410"/>
      <c r="H410"/>
      <c r="I410"/>
    </row>
    <row r="411" spans="1:9">
      <c r="A411"/>
      <c r="B411"/>
      <c r="C411"/>
      <c r="D411"/>
      <c r="E411"/>
      <c r="F411"/>
      <c r="G411"/>
      <c r="H411"/>
      <c r="I411"/>
    </row>
    <row r="412" spans="1:9">
      <c r="A412"/>
      <c r="B412"/>
      <c r="C412"/>
      <c r="D412"/>
      <c r="E412"/>
      <c r="F412"/>
      <c r="G412"/>
      <c r="H412"/>
      <c r="I412"/>
    </row>
    <row r="413" spans="1:9">
      <c r="A413"/>
      <c r="B413"/>
      <c r="C413"/>
      <c r="D413"/>
      <c r="E413"/>
      <c r="F413"/>
      <c r="G413"/>
      <c r="H413"/>
      <c r="I413"/>
    </row>
    <row r="414" spans="1:9">
      <c r="A414"/>
      <c r="B414"/>
      <c r="C414"/>
      <c r="D414"/>
      <c r="E414"/>
      <c r="F414"/>
      <c r="G414"/>
      <c r="H414"/>
      <c r="I414"/>
    </row>
    <row r="415" spans="1:9">
      <c r="A415"/>
      <c r="B415"/>
      <c r="C415"/>
      <c r="D415"/>
      <c r="E415"/>
      <c r="F415"/>
      <c r="G415"/>
      <c r="H415"/>
      <c r="I415"/>
    </row>
    <row r="416" spans="1:9">
      <c r="A416"/>
      <c r="B416"/>
      <c r="C416"/>
      <c r="D416"/>
      <c r="E416"/>
      <c r="F416"/>
      <c r="G416"/>
      <c r="H416"/>
      <c r="I416"/>
    </row>
    <row r="417" spans="1:9">
      <c r="A417"/>
      <c r="B417"/>
      <c r="C417"/>
      <c r="D417"/>
      <c r="E417"/>
      <c r="F417"/>
      <c r="G417"/>
      <c r="H417"/>
      <c r="I417"/>
    </row>
    <row r="418" spans="1:9">
      <c r="A418"/>
      <c r="B418"/>
      <c r="C418"/>
      <c r="D418"/>
      <c r="E418"/>
      <c r="F418"/>
      <c r="G418"/>
      <c r="H418"/>
      <c r="I418"/>
    </row>
    <row r="419" spans="1:9">
      <c r="A419"/>
      <c r="B419"/>
      <c r="C419"/>
      <c r="D419"/>
      <c r="E419"/>
      <c r="F419"/>
      <c r="G419"/>
      <c r="H419"/>
      <c r="I419"/>
    </row>
    <row r="420" spans="1:9">
      <c r="A420"/>
      <c r="B420"/>
      <c r="C420"/>
      <c r="D420"/>
      <c r="E420"/>
      <c r="F420"/>
      <c r="G420"/>
      <c r="H420"/>
      <c r="I420"/>
    </row>
    <row r="421" spans="1:9">
      <c r="A421"/>
      <c r="B421"/>
      <c r="C421"/>
      <c r="D421"/>
      <c r="E421"/>
      <c r="F421"/>
      <c r="G421"/>
      <c r="H421"/>
      <c r="I421"/>
    </row>
    <row r="422" spans="1:9">
      <c r="A422"/>
      <c r="B422"/>
      <c r="C422"/>
      <c r="D422"/>
      <c r="E422"/>
      <c r="F422"/>
      <c r="G422"/>
      <c r="H422"/>
      <c r="I422"/>
    </row>
    <row r="423" spans="1:9">
      <c r="A423"/>
      <c r="B423"/>
      <c r="C423"/>
      <c r="D423"/>
      <c r="E423"/>
      <c r="F423"/>
      <c r="G423"/>
      <c r="H423"/>
      <c r="I423"/>
    </row>
    <row r="424" spans="1:9">
      <c r="A424"/>
      <c r="B424"/>
      <c r="C424"/>
      <c r="D424"/>
      <c r="E424"/>
      <c r="F424"/>
      <c r="G424"/>
      <c r="H424"/>
      <c r="I424"/>
    </row>
    <row r="425" spans="1:9">
      <c r="A425"/>
      <c r="B425"/>
      <c r="C425"/>
      <c r="D425"/>
      <c r="E425"/>
      <c r="F425"/>
      <c r="G425"/>
      <c r="H425"/>
      <c r="I425"/>
    </row>
    <row r="426" spans="1:9">
      <c r="A426"/>
      <c r="B426"/>
      <c r="C426"/>
      <c r="D426"/>
      <c r="E426"/>
      <c r="F426"/>
      <c r="G426"/>
      <c r="H426"/>
      <c r="I426"/>
    </row>
    <row r="427" spans="1:9">
      <c r="A427"/>
      <c r="B427"/>
      <c r="C427"/>
      <c r="D427"/>
      <c r="E427"/>
      <c r="F427"/>
      <c r="G427"/>
      <c r="H427"/>
      <c r="I427"/>
    </row>
    <row r="428" spans="1:9">
      <c r="A428"/>
      <c r="B428"/>
      <c r="C428"/>
      <c r="D428"/>
      <c r="E428"/>
      <c r="F428"/>
      <c r="G428"/>
      <c r="H428"/>
      <c r="I428"/>
    </row>
    <row r="429" spans="1:9">
      <c r="A429"/>
      <c r="B429"/>
      <c r="C429"/>
      <c r="D429"/>
      <c r="E429"/>
      <c r="F429"/>
      <c r="G429"/>
      <c r="H429"/>
      <c r="I429"/>
    </row>
    <row r="430" spans="1:9">
      <c r="A430"/>
      <c r="B430"/>
      <c r="C430"/>
      <c r="D430"/>
      <c r="E430"/>
      <c r="F430"/>
      <c r="G430"/>
      <c r="H430"/>
      <c r="I430"/>
    </row>
    <row r="431" spans="1:9">
      <c r="A431"/>
      <c r="B431"/>
      <c r="C431"/>
      <c r="D431"/>
      <c r="E431"/>
      <c r="F431"/>
      <c r="G431"/>
      <c r="H431"/>
      <c r="I431"/>
    </row>
    <row r="432" spans="1:9">
      <c r="A432"/>
      <c r="B432"/>
      <c r="C432"/>
      <c r="D432"/>
      <c r="E432"/>
      <c r="F432"/>
      <c r="G432"/>
      <c r="H432"/>
      <c r="I432"/>
    </row>
    <row r="433" spans="1:9">
      <c r="A433"/>
      <c r="B433"/>
      <c r="C433"/>
      <c r="D433"/>
      <c r="E433"/>
      <c r="F433"/>
      <c r="G433"/>
      <c r="H433"/>
      <c r="I433"/>
    </row>
    <row r="434" spans="1:9">
      <c r="A434"/>
      <c r="B434"/>
      <c r="C434"/>
      <c r="D434"/>
      <c r="E434"/>
      <c r="F434"/>
      <c r="G434"/>
      <c r="H434"/>
      <c r="I434"/>
    </row>
    <row r="435" spans="1:9">
      <c r="A435"/>
      <c r="B435"/>
      <c r="C435"/>
      <c r="D435"/>
      <c r="E435"/>
      <c r="F435"/>
      <c r="G435"/>
      <c r="H435"/>
      <c r="I435"/>
    </row>
    <row r="436" spans="1:9">
      <c r="A436"/>
      <c r="B436"/>
      <c r="C436"/>
      <c r="D436"/>
      <c r="E436"/>
      <c r="F436"/>
      <c r="G436"/>
      <c r="H436"/>
      <c r="I436"/>
    </row>
    <row r="437" spans="1:9">
      <c r="A437"/>
      <c r="B437"/>
      <c r="C437"/>
      <c r="D437"/>
      <c r="E437"/>
      <c r="F437"/>
      <c r="G437"/>
      <c r="H437"/>
      <c r="I437"/>
    </row>
    <row r="438" spans="1:9">
      <c r="A438"/>
      <c r="B438"/>
      <c r="C438"/>
      <c r="D438"/>
      <c r="E438"/>
      <c r="F438"/>
      <c r="G438"/>
      <c r="H438"/>
      <c r="I438"/>
    </row>
    <row r="439" spans="1:9">
      <c r="A439"/>
      <c r="B439"/>
      <c r="C439"/>
      <c r="D439"/>
      <c r="E439"/>
      <c r="F439"/>
      <c r="G439"/>
      <c r="H439"/>
      <c r="I439"/>
    </row>
    <row r="440" spans="1:9">
      <c r="A440"/>
      <c r="B440"/>
      <c r="C440"/>
      <c r="D440"/>
      <c r="E440"/>
      <c r="F440"/>
      <c r="G440"/>
      <c r="H440"/>
      <c r="I440"/>
    </row>
    <row r="441" spans="1:9">
      <c r="A441"/>
      <c r="B441"/>
      <c r="C441"/>
      <c r="D441"/>
      <c r="E441"/>
      <c r="F441"/>
      <c r="G441"/>
      <c r="H441"/>
      <c r="I441"/>
    </row>
    <row r="442" spans="1:9">
      <c r="A442"/>
      <c r="B442"/>
      <c r="C442"/>
      <c r="D442"/>
      <c r="E442"/>
      <c r="F442"/>
      <c r="G442"/>
      <c r="H442"/>
      <c r="I442"/>
    </row>
    <row r="443" spans="1:9">
      <c r="A443"/>
      <c r="B443"/>
      <c r="C443"/>
      <c r="D443"/>
      <c r="E443"/>
      <c r="F443"/>
      <c r="G443"/>
      <c r="H443"/>
      <c r="I443"/>
    </row>
    <row r="444" spans="1:9">
      <c r="A444"/>
      <c r="B444"/>
      <c r="C444"/>
      <c r="D444"/>
      <c r="E444"/>
      <c r="F444"/>
      <c r="G444"/>
      <c r="H444"/>
      <c r="I444"/>
    </row>
    <row r="445" spans="1:9">
      <c r="A445"/>
      <c r="B445"/>
      <c r="C445"/>
      <c r="D445"/>
      <c r="E445"/>
      <c r="F445"/>
      <c r="G445"/>
      <c r="H445"/>
      <c r="I445"/>
    </row>
    <row r="446" spans="1:9">
      <c r="A446"/>
      <c r="B446"/>
      <c r="C446"/>
      <c r="D446"/>
      <c r="E446"/>
      <c r="F446"/>
      <c r="G446"/>
      <c r="H446"/>
      <c r="I446"/>
    </row>
    <row r="447" spans="1:9">
      <c r="A447"/>
      <c r="B447"/>
      <c r="C447"/>
      <c r="D447"/>
      <c r="E447"/>
      <c r="F447"/>
      <c r="G447"/>
      <c r="H447"/>
      <c r="I447"/>
    </row>
    <row r="448" spans="1:9">
      <c r="A448"/>
      <c r="B448"/>
      <c r="C448"/>
      <c r="D448"/>
      <c r="E448"/>
      <c r="F448"/>
      <c r="G448"/>
      <c r="H448"/>
      <c r="I448"/>
    </row>
    <row r="449" spans="1:9">
      <c r="A449"/>
      <c r="B449"/>
      <c r="C449"/>
      <c r="D449"/>
      <c r="E449"/>
      <c r="F449"/>
      <c r="G449"/>
      <c r="H449"/>
      <c r="I449"/>
    </row>
    <row r="450" spans="1:9">
      <c r="A450"/>
      <c r="B450"/>
      <c r="C450"/>
      <c r="D450"/>
      <c r="E450"/>
      <c r="F450"/>
      <c r="G450"/>
      <c r="H450"/>
      <c r="I450"/>
    </row>
    <row r="451" spans="1:9">
      <c r="A451"/>
      <c r="B451"/>
      <c r="C451"/>
      <c r="D451"/>
      <c r="E451"/>
      <c r="F451"/>
      <c r="G451"/>
      <c r="H451"/>
      <c r="I451"/>
    </row>
    <row r="452" spans="1:9">
      <c r="A452"/>
      <c r="B452"/>
      <c r="C452"/>
      <c r="D452"/>
      <c r="E452"/>
      <c r="F452"/>
      <c r="G452"/>
      <c r="H452"/>
      <c r="I452"/>
    </row>
    <row r="453" spans="1:9">
      <c r="A453"/>
      <c r="B453"/>
      <c r="C453"/>
      <c r="D453"/>
      <c r="E453"/>
      <c r="F453"/>
      <c r="G453"/>
      <c r="H453"/>
      <c r="I453"/>
    </row>
    <row r="454" spans="1:9">
      <c r="A454"/>
      <c r="B454"/>
      <c r="C454"/>
      <c r="D454"/>
      <c r="E454"/>
      <c r="F454"/>
      <c r="G454"/>
      <c r="H454"/>
      <c r="I454"/>
    </row>
    <row r="455" spans="1:9">
      <c r="A455"/>
      <c r="B455"/>
      <c r="C455"/>
      <c r="D455"/>
      <c r="E455"/>
      <c r="F455"/>
      <c r="G455"/>
      <c r="H455"/>
      <c r="I455"/>
    </row>
    <row r="456" spans="1:9">
      <c r="A456"/>
      <c r="B456"/>
      <c r="C456"/>
      <c r="D456"/>
      <c r="E456"/>
      <c r="F456"/>
      <c r="G456"/>
      <c r="H456"/>
      <c r="I456"/>
    </row>
    <row r="457" spans="1:9">
      <c r="A457"/>
      <c r="B457"/>
      <c r="C457"/>
      <c r="D457"/>
      <c r="E457"/>
      <c r="F457"/>
      <c r="G457"/>
      <c r="H457"/>
      <c r="I457"/>
    </row>
    <row r="458" spans="1:9">
      <c r="A458"/>
      <c r="B458"/>
      <c r="C458"/>
      <c r="D458"/>
      <c r="E458"/>
      <c r="F458"/>
      <c r="G458"/>
      <c r="H458"/>
      <c r="I458"/>
    </row>
    <row r="459" spans="1:9">
      <c r="A459"/>
      <c r="B459"/>
      <c r="C459"/>
      <c r="D459"/>
      <c r="E459"/>
      <c r="F459"/>
      <c r="G459"/>
      <c r="H459"/>
      <c r="I459"/>
    </row>
    <row r="460" spans="1:9">
      <c r="A460"/>
      <c r="B460"/>
      <c r="C460"/>
      <c r="D460"/>
      <c r="E460"/>
      <c r="F460"/>
      <c r="G460"/>
      <c r="H460"/>
      <c r="I460"/>
    </row>
    <row r="461" spans="1:9">
      <c r="A461"/>
      <c r="B461"/>
      <c r="C461"/>
      <c r="D461"/>
      <c r="E461"/>
      <c r="F461"/>
      <c r="G461"/>
      <c r="H461"/>
      <c r="I461"/>
    </row>
    <row r="462" spans="1:9">
      <c r="A462"/>
      <c r="B462"/>
      <c r="C462"/>
      <c r="D462"/>
      <c r="E462"/>
      <c r="F462"/>
      <c r="G462"/>
      <c r="H462"/>
      <c r="I462"/>
    </row>
    <row r="463" spans="1:9">
      <c r="A463"/>
      <c r="B463"/>
      <c r="C463"/>
      <c r="D463"/>
      <c r="E463"/>
      <c r="F463"/>
      <c r="G463"/>
      <c r="H463"/>
      <c r="I463"/>
    </row>
    <row r="464" spans="1:9">
      <c r="A464"/>
      <c r="B464"/>
      <c r="C464"/>
      <c r="D464"/>
      <c r="E464"/>
      <c r="F464"/>
      <c r="G464"/>
      <c r="H464"/>
      <c r="I464"/>
    </row>
    <row r="465" spans="1:9">
      <c r="A465"/>
      <c r="B465"/>
      <c r="C465"/>
      <c r="D465"/>
      <c r="E465"/>
      <c r="F465"/>
      <c r="G465"/>
      <c r="H465"/>
      <c r="I465"/>
    </row>
    <row r="466" spans="1:9">
      <c r="A466"/>
      <c r="B466"/>
      <c r="C466"/>
      <c r="D466"/>
      <c r="E466"/>
      <c r="F466"/>
      <c r="G466"/>
      <c r="H466"/>
      <c r="I466"/>
    </row>
    <row r="467" spans="1:9">
      <c r="A467"/>
      <c r="B467"/>
      <c r="C467"/>
      <c r="D467"/>
      <c r="E467"/>
      <c r="F467"/>
      <c r="G467"/>
      <c r="H467"/>
      <c r="I467"/>
    </row>
    <row r="468" spans="1:9">
      <c r="A468"/>
      <c r="B468"/>
      <c r="C468"/>
      <c r="D468"/>
      <c r="E468"/>
      <c r="F468"/>
      <c r="G468"/>
      <c r="H468"/>
      <c r="I468"/>
    </row>
    <row r="469" spans="1:9">
      <c r="A469"/>
      <c r="B469"/>
      <c r="C469"/>
      <c r="D469"/>
      <c r="E469"/>
      <c r="F469"/>
      <c r="G469"/>
      <c r="H469"/>
      <c r="I469"/>
    </row>
    <row r="470" spans="1:9">
      <c r="A470"/>
      <c r="B470"/>
      <c r="C470"/>
      <c r="D470"/>
      <c r="E470"/>
      <c r="F470"/>
      <c r="G470"/>
      <c r="H470"/>
      <c r="I470"/>
    </row>
    <row r="471" spans="1:9">
      <c r="A471"/>
      <c r="B471"/>
      <c r="C471"/>
      <c r="D471"/>
      <c r="E471"/>
      <c r="F471"/>
      <c r="G471"/>
      <c r="H471"/>
      <c r="I471"/>
    </row>
    <row r="472" spans="1:9">
      <c r="A472"/>
      <c r="B472"/>
      <c r="C472"/>
      <c r="D472"/>
      <c r="E472"/>
      <c r="F472"/>
      <c r="G472"/>
      <c r="H472"/>
      <c r="I472"/>
    </row>
    <row r="473" spans="1:9">
      <c r="A473"/>
      <c r="B473"/>
      <c r="C473"/>
      <c r="D473"/>
      <c r="E473"/>
      <c r="F473"/>
      <c r="G473"/>
      <c r="H473"/>
      <c r="I473"/>
    </row>
    <row r="474" spans="1:9">
      <c r="A474"/>
      <c r="B474"/>
      <c r="C474"/>
      <c r="D474"/>
      <c r="E474"/>
      <c r="F474"/>
      <c r="G474"/>
      <c r="H474"/>
      <c r="I474"/>
    </row>
    <row r="475" spans="1:9">
      <c r="A475"/>
      <c r="B475"/>
      <c r="C475"/>
      <c r="D475"/>
      <c r="E475"/>
      <c r="F475"/>
      <c r="G475"/>
      <c r="H475"/>
      <c r="I475"/>
    </row>
    <row r="476" spans="1:9">
      <c r="A476"/>
      <c r="B476"/>
      <c r="C476"/>
      <c r="D476"/>
      <c r="E476"/>
      <c r="F476"/>
      <c r="G476"/>
      <c r="H476"/>
      <c r="I476"/>
    </row>
    <row r="477" spans="1:9">
      <c r="A477"/>
      <c r="B477"/>
      <c r="C477"/>
      <c r="D477"/>
      <c r="E477"/>
      <c r="F477"/>
      <c r="G477"/>
      <c r="H477"/>
      <c r="I477"/>
    </row>
    <row r="478" spans="1:9">
      <c r="A478"/>
      <c r="B478"/>
      <c r="C478"/>
      <c r="D478"/>
      <c r="E478"/>
      <c r="F478"/>
      <c r="G478"/>
      <c r="H478"/>
      <c r="I478"/>
    </row>
    <row r="479" spans="1:9">
      <c r="A479"/>
      <c r="B479"/>
      <c r="C479"/>
      <c r="D479"/>
      <c r="E479"/>
      <c r="F479"/>
      <c r="G479"/>
      <c r="H479"/>
      <c r="I479"/>
    </row>
    <row r="480" spans="1:9">
      <c r="A480"/>
      <c r="B480"/>
      <c r="C480"/>
      <c r="D480"/>
      <c r="E480"/>
      <c r="F480"/>
      <c r="G480"/>
      <c r="H480"/>
      <c r="I480"/>
    </row>
    <row r="481" spans="1:9">
      <c r="A481"/>
      <c r="B481"/>
      <c r="C481"/>
      <c r="D481"/>
      <c r="E481"/>
      <c r="F481"/>
      <c r="G481"/>
      <c r="H481"/>
      <c r="I481"/>
    </row>
    <row r="482" spans="1:9">
      <c r="A482"/>
      <c r="B482"/>
      <c r="C482"/>
      <c r="D482"/>
      <c r="E482"/>
      <c r="F482"/>
      <c r="G482"/>
      <c r="H482"/>
      <c r="I482"/>
    </row>
    <row r="483" spans="1:9">
      <c r="A483"/>
      <c r="B483"/>
      <c r="C483"/>
      <c r="D483"/>
      <c r="E483"/>
      <c r="F483"/>
      <c r="G483"/>
      <c r="H483"/>
      <c r="I483"/>
    </row>
    <row r="484" spans="1:9">
      <c r="A484"/>
      <c r="B484"/>
      <c r="C484"/>
      <c r="D484"/>
      <c r="E484"/>
      <c r="F484"/>
      <c r="G484"/>
      <c r="H484"/>
      <c r="I484"/>
    </row>
    <row r="485" spans="1:9">
      <c r="A485"/>
      <c r="B485"/>
      <c r="C485"/>
      <c r="D485"/>
      <c r="E485"/>
      <c r="F485"/>
      <c r="G485"/>
      <c r="H485"/>
      <c r="I485"/>
    </row>
    <row r="486" spans="1:9">
      <c r="A486"/>
      <c r="B486"/>
      <c r="C486"/>
      <c r="D486"/>
      <c r="E486"/>
      <c r="F486"/>
      <c r="G486"/>
      <c r="H486"/>
      <c r="I486"/>
    </row>
    <row r="487" spans="1:9">
      <c r="A487"/>
      <c r="B487"/>
      <c r="C487"/>
      <c r="D487"/>
      <c r="E487"/>
      <c r="F487"/>
      <c r="G487"/>
      <c r="H487"/>
      <c r="I487"/>
    </row>
    <row r="488" spans="1:9">
      <c r="A488"/>
      <c r="B488"/>
      <c r="C488"/>
      <c r="D488"/>
      <c r="E488"/>
      <c r="F488"/>
      <c r="G488"/>
      <c r="H488"/>
      <c r="I488"/>
    </row>
    <row r="489" spans="1:9">
      <c r="A489"/>
      <c r="B489"/>
      <c r="C489"/>
      <c r="D489"/>
      <c r="E489"/>
      <c r="F489"/>
      <c r="G489"/>
      <c r="H489"/>
      <c r="I489"/>
    </row>
    <row r="490" spans="1:9">
      <c r="A490"/>
      <c r="B490"/>
      <c r="C490"/>
      <c r="D490"/>
      <c r="E490"/>
      <c r="F490"/>
      <c r="G490"/>
      <c r="H490"/>
      <c r="I490"/>
    </row>
    <row r="491" spans="1:9">
      <c r="A491"/>
      <c r="B491"/>
      <c r="C491"/>
      <c r="D491"/>
      <c r="E491"/>
      <c r="F491"/>
      <c r="G491"/>
      <c r="H491"/>
      <c r="I491"/>
    </row>
    <row r="492" spans="1:9">
      <c r="A492"/>
      <c r="B492"/>
      <c r="C492"/>
      <c r="D492"/>
      <c r="E492"/>
      <c r="F492"/>
      <c r="G492"/>
      <c r="H492"/>
      <c r="I492"/>
    </row>
    <row r="493" spans="1:9">
      <c r="A493"/>
      <c r="B493"/>
      <c r="C493"/>
      <c r="D493"/>
      <c r="E493"/>
      <c r="F493"/>
      <c r="G493"/>
      <c r="H493"/>
      <c r="I493"/>
    </row>
    <row r="494" spans="1:9">
      <c r="A494"/>
      <c r="B494"/>
      <c r="C494"/>
      <c r="D494"/>
      <c r="E494"/>
      <c r="F494"/>
      <c r="G494"/>
      <c r="H494"/>
      <c r="I494"/>
    </row>
    <row r="495" spans="1:9">
      <c r="A495"/>
      <c r="B495"/>
      <c r="C495"/>
      <c r="D495"/>
      <c r="E495"/>
      <c r="F495"/>
      <c r="G495"/>
      <c r="H495"/>
      <c r="I495"/>
    </row>
    <row r="496" spans="1:9">
      <c r="A496"/>
      <c r="B496"/>
      <c r="C496"/>
      <c r="D496"/>
      <c r="E496"/>
      <c r="F496"/>
      <c r="G496"/>
      <c r="H496"/>
      <c r="I496"/>
    </row>
    <row r="497" spans="1:9">
      <c r="A497"/>
      <c r="B497"/>
      <c r="C497"/>
      <c r="D497"/>
      <c r="E497"/>
      <c r="F497"/>
      <c r="G497"/>
      <c r="H497"/>
      <c r="I497"/>
    </row>
    <row r="498" spans="1:9">
      <c r="A498"/>
      <c r="B498"/>
      <c r="C498"/>
      <c r="D498"/>
      <c r="E498"/>
      <c r="F498"/>
      <c r="G498"/>
      <c r="H498"/>
      <c r="I498"/>
    </row>
    <row r="499" spans="1:9">
      <c r="A499"/>
      <c r="B499"/>
      <c r="C499"/>
      <c r="D499"/>
      <c r="E499"/>
      <c r="F499"/>
      <c r="G499"/>
      <c r="H499"/>
      <c r="I499"/>
    </row>
    <row r="500" spans="1:9">
      <c r="A500"/>
      <c r="B500"/>
      <c r="C500"/>
      <c r="D500"/>
      <c r="E500"/>
      <c r="F500"/>
      <c r="G500"/>
      <c r="H500"/>
      <c r="I500"/>
    </row>
    <row r="501" spans="1:9">
      <c r="A501"/>
      <c r="B501"/>
      <c r="C501"/>
      <c r="D501"/>
      <c r="E501"/>
      <c r="F501"/>
      <c r="G501"/>
      <c r="H501"/>
      <c r="I501"/>
    </row>
    <row r="502" spans="1:9">
      <c r="A502"/>
      <c r="B502"/>
      <c r="C502"/>
      <c r="D502"/>
      <c r="E502"/>
      <c r="F502"/>
      <c r="G502"/>
      <c r="H502"/>
      <c r="I502"/>
    </row>
    <row r="503" spans="1:9">
      <c r="A503"/>
      <c r="B503"/>
      <c r="C503"/>
      <c r="D503"/>
      <c r="E503"/>
      <c r="F503"/>
      <c r="G503"/>
      <c r="H503"/>
      <c r="I503"/>
    </row>
    <row r="504" spans="1:9">
      <c r="A504"/>
      <c r="B504"/>
      <c r="C504"/>
      <c r="D504"/>
      <c r="E504"/>
      <c r="F504"/>
      <c r="G504"/>
      <c r="H504"/>
      <c r="I504"/>
    </row>
    <row r="505" spans="1:9">
      <c r="A505"/>
      <c r="B505"/>
      <c r="C505"/>
      <c r="D505"/>
      <c r="E505"/>
      <c r="F505"/>
      <c r="G505"/>
      <c r="H505"/>
      <c r="I505"/>
    </row>
    <row r="506" spans="1:9">
      <c r="A506"/>
      <c r="B506"/>
      <c r="C506"/>
      <c r="D506"/>
      <c r="E506"/>
      <c r="F506"/>
      <c r="G506"/>
      <c r="H506"/>
      <c r="I506"/>
    </row>
    <row r="507" spans="1:9">
      <c r="A507"/>
      <c r="B507"/>
      <c r="C507"/>
      <c r="D507"/>
      <c r="E507"/>
      <c r="F507"/>
      <c r="G507"/>
      <c r="H507"/>
      <c r="I507"/>
    </row>
    <row r="508" spans="1:9">
      <c r="A508"/>
      <c r="B508"/>
      <c r="C508"/>
      <c r="D508"/>
      <c r="E508"/>
      <c r="F508"/>
      <c r="G508"/>
      <c r="H508"/>
      <c r="I508"/>
    </row>
    <row r="509" spans="1:9">
      <c r="A509"/>
      <c r="B509"/>
      <c r="C509"/>
      <c r="D509"/>
      <c r="E509"/>
      <c r="F509"/>
      <c r="G509"/>
      <c r="H509"/>
      <c r="I509"/>
    </row>
    <row r="510" spans="1:9">
      <c r="A510"/>
      <c r="B510"/>
      <c r="C510"/>
      <c r="D510"/>
      <c r="E510"/>
      <c r="F510"/>
      <c r="G510"/>
      <c r="H510"/>
      <c r="I510"/>
    </row>
    <row r="511" spans="1:9">
      <c r="A511"/>
      <c r="B511"/>
      <c r="C511"/>
      <c r="D511"/>
      <c r="E511"/>
      <c r="F511"/>
      <c r="G511"/>
      <c r="H511"/>
      <c r="I511"/>
    </row>
    <row r="512" spans="1:9">
      <c r="A512"/>
      <c r="B512"/>
      <c r="C512"/>
      <c r="D512"/>
      <c r="E512"/>
      <c r="F512"/>
      <c r="G512"/>
      <c r="H512"/>
      <c r="I512"/>
    </row>
    <row r="513" spans="1:9">
      <c r="A513"/>
      <c r="B513"/>
      <c r="C513"/>
      <c r="D513"/>
      <c r="E513"/>
      <c r="F513"/>
      <c r="G513"/>
      <c r="H513"/>
      <c r="I513"/>
    </row>
    <row r="514" spans="1:9">
      <c r="A514"/>
      <c r="B514"/>
      <c r="C514"/>
      <c r="D514"/>
      <c r="E514"/>
      <c r="F514"/>
      <c r="G514"/>
      <c r="H514"/>
      <c r="I514"/>
    </row>
    <row r="515" spans="1:9">
      <c r="A515"/>
      <c r="B515"/>
      <c r="C515"/>
      <c r="D515"/>
      <c r="E515"/>
      <c r="F515"/>
      <c r="G515"/>
      <c r="H515"/>
      <c r="I515"/>
    </row>
    <row r="516" spans="1:9">
      <c r="A516"/>
      <c r="B516"/>
      <c r="C516"/>
      <c r="D516"/>
      <c r="E516"/>
      <c r="F516"/>
      <c r="G516"/>
      <c r="H516"/>
      <c r="I516"/>
    </row>
    <row r="517" spans="1:9">
      <c r="A517"/>
      <c r="B517"/>
      <c r="C517"/>
      <c r="D517"/>
      <c r="E517"/>
      <c r="F517"/>
      <c r="G517"/>
      <c r="H517"/>
      <c r="I517"/>
    </row>
    <row r="518" spans="1:9">
      <c r="A518"/>
      <c r="B518"/>
      <c r="C518"/>
      <c r="D518"/>
      <c r="E518"/>
      <c r="F518"/>
      <c r="G518"/>
      <c r="H518"/>
      <c r="I518"/>
    </row>
    <row r="519" spans="1:9">
      <c r="A519"/>
      <c r="B519"/>
      <c r="C519"/>
      <c r="D519"/>
      <c r="E519"/>
      <c r="F519"/>
      <c r="G519"/>
      <c r="H519"/>
      <c r="I519"/>
    </row>
    <row r="520" spans="1:9">
      <c r="A520"/>
      <c r="B520"/>
      <c r="C520"/>
      <c r="D520"/>
      <c r="E520"/>
      <c r="F520"/>
      <c r="G520"/>
      <c r="H520"/>
      <c r="I520"/>
    </row>
    <row r="521" spans="1:9">
      <c r="A521"/>
      <c r="B521"/>
      <c r="C521"/>
      <c r="D521"/>
      <c r="E521"/>
      <c r="F521"/>
      <c r="G521"/>
      <c r="H521"/>
      <c r="I521"/>
    </row>
    <row r="522" spans="1:9">
      <c r="A522"/>
      <c r="B522"/>
      <c r="C522"/>
      <c r="D522"/>
      <c r="E522"/>
      <c r="F522"/>
      <c r="G522"/>
      <c r="H522"/>
      <c r="I522"/>
    </row>
    <row r="523" spans="1:9">
      <c r="A523"/>
      <c r="B523"/>
      <c r="C523"/>
      <c r="D523"/>
      <c r="E523"/>
      <c r="F523"/>
      <c r="G523"/>
      <c r="H523"/>
      <c r="I523"/>
    </row>
    <row r="524" spans="1:9">
      <c r="A524"/>
      <c r="B524"/>
      <c r="C524"/>
      <c r="D524"/>
      <c r="E524"/>
      <c r="F524"/>
      <c r="G524"/>
      <c r="H524"/>
      <c r="I524"/>
    </row>
    <row r="525" spans="1:9">
      <c r="A525"/>
      <c r="B525"/>
      <c r="C525"/>
      <c r="D525"/>
      <c r="E525"/>
      <c r="F525"/>
      <c r="G525"/>
      <c r="H525"/>
      <c r="I525"/>
    </row>
    <row r="526" spans="1:9">
      <c r="A526"/>
      <c r="B526"/>
      <c r="C526"/>
      <c r="D526"/>
      <c r="E526"/>
      <c r="F526"/>
      <c r="G526"/>
      <c r="H526"/>
      <c r="I526"/>
    </row>
    <row r="527" spans="1:9">
      <c r="A527"/>
      <c r="B527"/>
      <c r="C527"/>
      <c r="D527"/>
      <c r="E527"/>
      <c r="F527"/>
      <c r="G527"/>
      <c r="H527"/>
      <c r="I527"/>
    </row>
    <row r="528" spans="1:9">
      <c r="A528"/>
      <c r="B528"/>
      <c r="C528"/>
      <c r="D528"/>
      <c r="E528"/>
      <c r="F528"/>
      <c r="G528"/>
      <c r="H528"/>
      <c r="I528"/>
    </row>
    <row r="529" spans="1:9">
      <c r="A529"/>
      <c r="B529"/>
      <c r="C529"/>
      <c r="D529"/>
      <c r="E529"/>
      <c r="F529"/>
      <c r="G529"/>
      <c r="H529"/>
      <c r="I529"/>
    </row>
    <row r="530" spans="1:9">
      <c r="A530"/>
      <c r="B530"/>
      <c r="C530"/>
      <c r="D530"/>
      <c r="E530"/>
      <c r="F530"/>
      <c r="G530"/>
      <c r="H530"/>
      <c r="I530"/>
    </row>
    <row r="531" spans="1:9">
      <c r="A531"/>
      <c r="B531"/>
      <c r="C531"/>
      <c r="D531"/>
      <c r="E531"/>
      <c r="F531"/>
      <c r="G531"/>
      <c r="H531"/>
      <c r="I531"/>
    </row>
    <row r="532" spans="1:9">
      <c r="A532"/>
      <c r="B532"/>
      <c r="C532"/>
      <c r="D532"/>
      <c r="E532"/>
      <c r="F532"/>
      <c r="G532"/>
      <c r="H532"/>
      <c r="I532"/>
    </row>
    <row r="533" spans="1:9">
      <c r="A533"/>
      <c r="B533"/>
      <c r="C533"/>
      <c r="D533"/>
      <c r="E533"/>
      <c r="F533"/>
      <c r="G533"/>
      <c r="H533"/>
      <c r="I533"/>
    </row>
    <row r="534" spans="1:9">
      <c r="A534"/>
      <c r="B534"/>
      <c r="C534"/>
      <c r="D534"/>
      <c r="E534"/>
      <c r="F534"/>
      <c r="G534"/>
      <c r="H534"/>
      <c r="I534"/>
    </row>
    <row r="535" spans="1:9">
      <c r="A535"/>
      <c r="B535"/>
      <c r="C535"/>
      <c r="D535"/>
      <c r="E535"/>
      <c r="F535"/>
      <c r="G535"/>
      <c r="H535"/>
      <c r="I535"/>
    </row>
    <row r="536" spans="1:9">
      <c r="A536"/>
      <c r="B536"/>
      <c r="C536"/>
      <c r="D536"/>
      <c r="E536"/>
      <c r="F536"/>
      <c r="G536"/>
      <c r="H536"/>
      <c r="I536"/>
    </row>
    <row r="537" spans="1:9">
      <c r="A537"/>
      <c r="B537"/>
      <c r="C537"/>
      <c r="D537"/>
      <c r="E537"/>
      <c r="F537"/>
      <c r="G537"/>
      <c r="H537"/>
      <c r="I537"/>
    </row>
    <row r="538" spans="1:9">
      <c r="A538"/>
      <c r="B538"/>
      <c r="C538"/>
      <c r="D538"/>
      <c r="E538"/>
      <c r="F538"/>
      <c r="G538"/>
      <c r="H538"/>
      <c r="I538"/>
    </row>
    <row r="539" spans="1:9">
      <c r="A539"/>
      <c r="B539"/>
      <c r="C539"/>
      <c r="D539"/>
      <c r="E539"/>
      <c r="F539"/>
      <c r="G539"/>
      <c r="H539"/>
      <c r="I539"/>
    </row>
    <row r="540" spans="1:9">
      <c r="A540"/>
      <c r="B540"/>
      <c r="C540"/>
      <c r="D540"/>
      <c r="E540"/>
      <c r="F540"/>
      <c r="G540"/>
      <c r="H540"/>
      <c r="I540"/>
    </row>
    <row r="541" spans="1:9">
      <c r="A541"/>
      <c r="B541"/>
      <c r="C541"/>
      <c r="D541"/>
      <c r="E541"/>
      <c r="F541"/>
      <c r="G541"/>
      <c r="H541"/>
      <c r="I541"/>
    </row>
    <row r="542" spans="1:9">
      <c r="A542"/>
      <c r="B542"/>
      <c r="C542"/>
      <c r="D542"/>
      <c r="E542"/>
      <c r="F542"/>
      <c r="G542"/>
      <c r="H542"/>
      <c r="I542"/>
    </row>
    <row r="543" spans="1:9">
      <c r="A543"/>
      <c r="B543"/>
      <c r="C543"/>
      <c r="D543"/>
      <c r="E543"/>
      <c r="F543"/>
      <c r="G543"/>
      <c r="H543"/>
      <c r="I543"/>
    </row>
    <row r="544" spans="1:9">
      <c r="A544"/>
      <c r="B544"/>
      <c r="C544"/>
      <c r="D544"/>
      <c r="E544"/>
      <c r="F544"/>
      <c r="G544"/>
      <c r="H544"/>
      <c r="I544"/>
    </row>
    <row r="545" spans="1:9">
      <c r="A545"/>
      <c r="B545"/>
      <c r="C545"/>
      <c r="D545"/>
      <c r="E545"/>
      <c r="F545"/>
      <c r="G545"/>
      <c r="H545"/>
      <c r="I545"/>
    </row>
    <row r="546" spans="1:9">
      <c r="A546"/>
      <c r="B546"/>
      <c r="C546"/>
      <c r="D546"/>
      <c r="E546"/>
      <c r="F546"/>
      <c r="G546"/>
      <c r="H546"/>
      <c r="I546"/>
    </row>
    <row r="547" spans="1:9">
      <c r="A547"/>
      <c r="B547"/>
      <c r="C547"/>
      <c r="D547"/>
      <c r="E547"/>
      <c r="F547"/>
      <c r="G547"/>
      <c r="H547"/>
      <c r="I547"/>
    </row>
    <row r="548" spans="1:9">
      <c r="A548"/>
      <c r="B548"/>
      <c r="C548"/>
      <c r="D548"/>
      <c r="E548"/>
      <c r="F548"/>
      <c r="G548"/>
      <c r="H548"/>
      <c r="I548"/>
    </row>
    <row r="549" spans="1:9">
      <c r="A549"/>
      <c r="B549"/>
      <c r="C549"/>
      <c r="D549"/>
      <c r="E549"/>
      <c r="F549"/>
      <c r="G549"/>
      <c r="H549"/>
      <c r="I549"/>
    </row>
    <row r="550" spans="1:9">
      <c r="A550"/>
      <c r="B550"/>
      <c r="C550"/>
      <c r="D550"/>
      <c r="E550"/>
      <c r="F550"/>
      <c r="G550"/>
      <c r="H550"/>
      <c r="I550"/>
    </row>
    <row r="551" spans="1:9">
      <c r="A551"/>
      <c r="B551"/>
      <c r="C551"/>
      <c r="D551"/>
      <c r="E551"/>
      <c r="F551"/>
      <c r="G551"/>
      <c r="H551"/>
      <c r="I551"/>
    </row>
    <row r="552" spans="1:9">
      <c r="A552"/>
      <c r="B552"/>
      <c r="C552"/>
      <c r="D552"/>
      <c r="E552"/>
      <c r="F552"/>
      <c r="G552"/>
      <c r="H552"/>
      <c r="I552"/>
    </row>
    <row r="553" spans="1:9">
      <c r="A553"/>
      <c r="B553"/>
      <c r="C553"/>
      <c r="D553"/>
      <c r="E553"/>
      <c r="F553"/>
      <c r="G553"/>
      <c r="H553"/>
      <c r="I553"/>
    </row>
    <row r="554" spans="1:9">
      <c r="A554"/>
      <c r="B554"/>
      <c r="C554"/>
      <c r="D554"/>
      <c r="E554"/>
      <c r="F554"/>
      <c r="G554"/>
      <c r="H554"/>
      <c r="I554"/>
    </row>
    <row r="555" spans="1:9">
      <c r="A555"/>
      <c r="B555"/>
      <c r="C555"/>
      <c r="D555"/>
      <c r="E555"/>
      <c r="F555"/>
      <c r="G555"/>
      <c r="H555"/>
      <c r="I555"/>
    </row>
    <row r="556" spans="1:9">
      <c r="A556"/>
      <c r="B556"/>
      <c r="C556"/>
      <c r="D556"/>
      <c r="E556"/>
      <c r="F556"/>
      <c r="G556"/>
      <c r="H556"/>
      <c r="I556"/>
    </row>
    <row r="557" spans="1:9">
      <c r="A557"/>
      <c r="B557"/>
      <c r="C557"/>
      <c r="D557"/>
      <c r="E557"/>
      <c r="F557"/>
      <c r="G557"/>
      <c r="H557"/>
      <c r="I557"/>
    </row>
    <row r="558" spans="1:9">
      <c r="A558"/>
      <c r="B558"/>
      <c r="C558"/>
      <c r="D558"/>
      <c r="E558"/>
      <c r="F558"/>
      <c r="G558"/>
      <c r="H558"/>
      <c r="I558"/>
    </row>
    <row r="559" spans="1:9">
      <c r="A559"/>
      <c r="B559"/>
      <c r="C559"/>
      <c r="D559"/>
      <c r="E559"/>
      <c r="F559"/>
      <c r="G559"/>
      <c r="H559"/>
      <c r="I559"/>
    </row>
    <row r="560" spans="1:9">
      <c r="A560"/>
      <c r="B560"/>
      <c r="C560"/>
      <c r="D560"/>
      <c r="E560"/>
      <c r="F560"/>
      <c r="G560"/>
      <c r="H560"/>
      <c r="I560"/>
    </row>
    <row r="561" spans="1:9">
      <c r="A561"/>
      <c r="B561"/>
      <c r="C561"/>
      <c r="D561"/>
      <c r="E561"/>
      <c r="F561"/>
      <c r="G561"/>
      <c r="H561"/>
      <c r="I561"/>
    </row>
    <row r="562" spans="1:9">
      <c r="A562"/>
      <c r="B562"/>
      <c r="C562"/>
      <c r="D562"/>
      <c r="E562"/>
      <c r="F562"/>
      <c r="G562"/>
      <c r="H562"/>
      <c r="I562"/>
    </row>
    <row r="563" spans="1:9">
      <c r="A563"/>
      <c r="B563"/>
      <c r="C563"/>
      <c r="D563"/>
      <c r="E563"/>
      <c r="F563"/>
      <c r="G563"/>
      <c r="H563"/>
      <c r="I563"/>
    </row>
    <row r="564" spans="1:9">
      <c r="A564"/>
      <c r="B564"/>
      <c r="C564"/>
      <c r="D564"/>
      <c r="E564"/>
      <c r="F564"/>
      <c r="G564"/>
      <c r="H564"/>
      <c r="I564"/>
    </row>
    <row r="565" spans="1:9">
      <c r="A565"/>
      <c r="B565"/>
      <c r="C565"/>
      <c r="D565"/>
      <c r="E565"/>
      <c r="F565"/>
      <c r="G565"/>
      <c r="H565"/>
      <c r="I565"/>
    </row>
    <row r="566" spans="1:9">
      <c r="A566"/>
      <c r="B566"/>
      <c r="C566"/>
      <c r="D566"/>
      <c r="E566"/>
      <c r="F566"/>
      <c r="G566"/>
      <c r="H566"/>
      <c r="I566"/>
    </row>
    <row r="567" spans="1:9">
      <c r="A567"/>
      <c r="B567"/>
      <c r="C567"/>
      <c r="D567"/>
      <c r="E567"/>
      <c r="F567"/>
      <c r="G567"/>
      <c r="H567"/>
      <c r="I567"/>
    </row>
    <row r="568" spans="1:9">
      <c r="A568"/>
      <c r="B568"/>
      <c r="C568"/>
      <c r="D568"/>
      <c r="E568"/>
      <c r="F568"/>
      <c r="G568"/>
      <c r="H568"/>
      <c r="I568"/>
    </row>
  </sheetData>
  <dataValidations count="7">
    <dataValidation type="list" allowBlank="1" showInputMessage="1" showErrorMessage="1" sqref="D5">
      <formula1>还款设置!$K$2:$K$3</formula1>
    </dataValidation>
    <dataValidation type="list" allowBlank="1" showInputMessage="1" showErrorMessage="1" sqref="D10">
      <formula1>还款设置!$B$2:$B$5</formula1>
    </dataValidation>
    <dataValidation type="list" allowBlank="1" showInputMessage="1" showErrorMessage="1" sqref="G11">
      <formula1>还款设置!$L$2:$L$3</formula1>
    </dataValidation>
    <dataValidation type="list" allowBlank="1" showInputMessage="1" showErrorMessage="1" sqref="I11">
      <formula1>还款设置!$N$2:$N$13</formula1>
    </dataValidation>
    <dataValidation type="list" allowBlank="1" showInputMessage="1" showErrorMessage="1" sqref="B12">
      <formula1>还款设置!$A$2:$A$9</formula1>
    </dataValidation>
    <dataValidation type="list" allowBlank="1" showInputMessage="1" showErrorMessage="1" sqref="G14">
      <formula1>还款设置!$D$2:$D$6</formula1>
    </dataValidation>
    <dataValidation type="list" allowBlank="1" showInputMessage="1" showErrorMessage="1" sqref="B22">
      <formula1>还款设置!$P$2:$P$6</formula1>
    </dataValidation>
  </dataValidation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61441" r:id="rId3">
          <controlPr defaultSize="0" r:id="rId4">
            <anchor moveWithCells="1">
              <from>
                <xdr:col>0</xdr:col>
                <xdr:colOff>1303655</xdr:colOff>
                <xdr:row>1</xdr:row>
                <xdr:rowOff>0</xdr:rowOff>
              </from>
              <to>
                <xdr:col>0</xdr:col>
                <xdr:colOff>1333500</xdr:colOff>
                <xdr:row>1</xdr:row>
                <xdr:rowOff>8255</xdr:rowOff>
              </to>
            </anchor>
          </controlPr>
        </control>
      </mc:Choice>
      <mc:Fallback>
        <control shapeId="61441" r:id="rId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JR568"/>
  <sheetViews>
    <sheetView tabSelected="1" zoomScale="106" zoomScaleNormal="106" topLeftCell="A5" workbookViewId="0">
      <selection activeCell="N39" sqref="N28:N39"/>
    </sheetView>
  </sheetViews>
  <sheetFormatPr defaultColWidth="9" defaultRowHeight="16.8"/>
  <cols>
    <col min="1" max="1" width="20.9017857142857" style="47" customWidth="1"/>
    <col min="2" max="2" width="17.5267857142857" style="48" customWidth="1"/>
    <col min="3" max="3" width="16.9642857142857" style="49" customWidth="1"/>
    <col min="4" max="4" width="17.25" style="49" customWidth="1"/>
    <col min="5" max="5" width="20.0803571428571" style="49" customWidth="1"/>
    <col min="6" max="6" width="15.625" style="49" customWidth="1"/>
    <col min="7" max="7" width="24.9285714285714" style="49" customWidth="1"/>
    <col min="8" max="9" width="15.625" style="49" customWidth="1"/>
    <col min="10" max="13" width="15.625" customWidth="1"/>
    <col min="14" max="14" width="14.3482142857143" customWidth="1"/>
    <col min="15" max="15" width="10.2321428571429" customWidth="1"/>
    <col min="16" max="16" width="14" customWidth="1"/>
  </cols>
  <sheetData>
    <row r="1" ht="37.2" spans="1:9">
      <c r="A1" s="50" t="s">
        <v>0</v>
      </c>
      <c r="B1"/>
      <c r="C1"/>
      <c r="D1"/>
      <c r="E1"/>
      <c r="F1"/>
      <c r="G1"/>
      <c r="H1"/>
      <c r="I1"/>
    </row>
    <row r="2" ht="20" customHeight="1" spans="1:9">
      <c r="A2"/>
      <c r="B2"/>
      <c r="C2"/>
      <c r="D2"/>
      <c r="E2"/>
      <c r="F2"/>
      <c r="G2"/>
      <c r="H2"/>
      <c r="I2"/>
    </row>
    <row r="3" ht="20.4" spans="1:9">
      <c r="A3" s="51" t="s">
        <v>1</v>
      </c>
      <c r="B3"/>
      <c r="C3"/>
      <c r="D3"/>
      <c r="E3"/>
      <c r="F3" s="51" t="s">
        <v>2</v>
      </c>
      <c r="G3"/>
      <c r="H3"/>
      <c r="I3"/>
    </row>
    <row r="4" ht="17.6" spans="1:9">
      <c r="A4" s="52" t="s">
        <v>3</v>
      </c>
      <c r="B4" s="53">
        <v>500000000</v>
      </c>
      <c r="C4" s="52" t="s">
        <v>4</v>
      </c>
      <c r="D4" s="54">
        <f>B4-D6</f>
        <v>500000000</v>
      </c>
      <c r="E4"/>
      <c r="F4"/>
      <c r="G4"/>
      <c r="H4"/>
      <c r="I4"/>
    </row>
    <row r="5" ht="17.6" spans="1:9">
      <c r="A5" s="52" t="s">
        <v>5</v>
      </c>
      <c r="B5" s="55">
        <v>0.035</v>
      </c>
      <c r="C5" s="52" t="s">
        <v>6</v>
      </c>
      <c r="D5" s="56" t="s">
        <v>82</v>
      </c>
      <c r="E5"/>
      <c r="F5" s="52" t="s">
        <v>8</v>
      </c>
      <c r="G5" s="57"/>
      <c r="H5"/>
      <c r="I5"/>
    </row>
    <row r="6" ht="17.6" spans="1:9">
      <c r="A6" s="52" t="s">
        <v>10</v>
      </c>
      <c r="B6" s="58">
        <v>0</v>
      </c>
      <c r="C6" s="52" t="s">
        <v>9</v>
      </c>
      <c r="D6" s="54">
        <f>(B4*B6)</f>
        <v>0</v>
      </c>
      <c r="E6"/>
      <c r="F6" s="52" t="s">
        <v>11</v>
      </c>
      <c r="G6" s="57"/>
      <c r="H6"/>
      <c r="I6"/>
    </row>
    <row r="7" ht="17.6" spans="1:9">
      <c r="A7"/>
      <c r="B7"/>
      <c r="C7"/>
      <c r="D7"/>
      <c r="E7"/>
      <c r="F7" s="52" t="s">
        <v>12</v>
      </c>
      <c r="G7" s="57"/>
      <c r="H7"/>
      <c r="I7"/>
    </row>
    <row r="8" ht="17.6" spans="1:9">
      <c r="A8" s="52" t="s">
        <v>13</v>
      </c>
      <c r="B8" s="53">
        <v>1</v>
      </c>
      <c r="C8"/>
      <c r="D8"/>
      <c r="E8"/>
      <c r="F8" s="52" t="s">
        <v>14</v>
      </c>
      <c r="G8" s="57"/>
      <c r="H8"/>
      <c r="I8"/>
    </row>
    <row r="9" ht="21" customHeight="1" spans="1:9">
      <c r="A9"/>
      <c r="B9"/>
      <c r="C9"/>
      <c r="D9"/>
      <c r="E9"/>
      <c r="F9" s="51" t="s">
        <v>15</v>
      </c>
      <c r="G9"/>
      <c r="H9"/>
      <c r="I9"/>
    </row>
    <row r="10" ht="17.6" spans="1:9">
      <c r="A10" s="52" t="s">
        <v>16</v>
      </c>
      <c r="B10" s="59">
        <v>10</v>
      </c>
      <c r="C10" s="52" t="s">
        <v>17</v>
      </c>
      <c r="D10" s="60">
        <v>6</v>
      </c>
      <c r="E10"/>
      <c r="F10" s="52" t="s">
        <v>18</v>
      </c>
      <c r="G10" s="61">
        <f>_xlfn.IFS(G11=5,VLOOKUP(I11,贷款基础利率!$B$2:$D$14,3,FALSE)/100,G11=1,VLOOKUP(I11,贷款基础利率!$B$2:$D$14,2,FALSE)/100)</f>
        <v>0.035</v>
      </c>
      <c r="H10" s="52" t="s">
        <v>19</v>
      </c>
      <c r="I10" s="62">
        <f>(B5-G10)*10000</f>
        <v>0</v>
      </c>
    </row>
    <row r="11" ht="17.6" spans="1:9">
      <c r="A11" s="52" t="s">
        <v>20</v>
      </c>
      <c r="B11" s="63">
        <f>12/D10</f>
        <v>2</v>
      </c>
      <c r="C11" s="52" t="s">
        <v>21</v>
      </c>
      <c r="D11" s="63">
        <f>D10*B10/12</f>
        <v>5</v>
      </c>
      <c r="E11"/>
      <c r="F11" s="52" t="s">
        <v>22</v>
      </c>
      <c r="G11" s="60">
        <v>5</v>
      </c>
      <c r="H11" s="52" t="s">
        <v>23</v>
      </c>
      <c r="I11" s="64" t="s">
        <v>24</v>
      </c>
    </row>
    <row r="12" ht="17.1" customHeight="1" spans="1:9">
      <c r="A12" s="52" t="s">
        <v>25</v>
      </c>
      <c r="B12" s="56" t="s">
        <v>83</v>
      </c>
      <c r="C12"/>
      <c r="D12"/>
      <c r="E12"/>
      <c r="F12" s="52" t="s">
        <v>27</v>
      </c>
      <c r="G12" s="65" t="str">
        <f>"即 "&amp;TEXT(I11,"yyyy年mm月dd日")&amp;"全国银行间同业拆借中心公布的 "&amp;G11&amp;" 年期人民币贷款基础利率（LPR）"&amp;G10*100&amp;"%，加"&amp;ROUND(I10,2)&amp;"BPS（1BP=0.01%）"</f>
        <v>即 2026年02月24日全国银行间同业拆借中心公布的 5 年期人民币贷款基础利率（LPR）3.5%，加0BPS（1BP=0.01%）</v>
      </c>
      <c r="H12"/>
      <c r="I12"/>
    </row>
    <row r="13" ht="20.4" spans="1:9">
      <c r="A13" s="52" t="s">
        <v>28</v>
      </c>
      <c r="B13" s="66">
        <v>46157</v>
      </c>
      <c r="C13"/>
      <c r="D13"/>
      <c r="E13"/>
      <c r="F13" s="51" t="s">
        <v>29</v>
      </c>
      <c r="G13"/>
      <c r="H13"/>
      <c r="I13"/>
    </row>
    <row r="14" ht="17.6" spans="1:9">
      <c r="A14"/>
      <c r="B14"/>
      <c r="C14"/>
      <c r="D14"/>
      <c r="E14"/>
      <c r="F14" s="52" t="s">
        <v>30</v>
      </c>
      <c r="G14" s="56" t="s">
        <v>31</v>
      </c>
      <c r="H14"/>
      <c r="I14"/>
    </row>
    <row r="15" ht="23.2" spans="1:9">
      <c r="A15" s="42" t="s">
        <v>32</v>
      </c>
      <c r="B15"/>
      <c r="C15"/>
      <c r="D15"/>
      <c r="E15"/>
      <c r="F15" s="52" t="s">
        <v>33</v>
      </c>
      <c r="G15" s="54">
        <f>B4*G16</f>
        <v>500000</v>
      </c>
      <c r="H15"/>
      <c r="I15"/>
    </row>
    <row r="16" ht="17.6" spans="1:9">
      <c r="A16" s="67" t="s">
        <v>34</v>
      </c>
      <c r="B16" s="68">
        <f>IRR(C44:C54)*B11</f>
        <v>0.0351496861621019</v>
      </c>
      <c r="C16" s="67" t="s">
        <v>35</v>
      </c>
      <c r="D16" s="68">
        <f>XIRR(C44:C54,B44:B54)</f>
        <v>0.0354046231796084</v>
      </c>
      <c r="E16"/>
      <c r="F16" s="52" t="s">
        <v>36</v>
      </c>
      <c r="G16" s="58">
        <v>0.001</v>
      </c>
      <c r="H16"/>
      <c r="I16"/>
    </row>
    <row r="17" ht="17.6" spans="1:1024 1025:5010">
      <c r="A17" s="67" t="s">
        <v>37</v>
      </c>
      <c r="B17" s="68">
        <f>IRR(E44:E54)*B11</f>
        <v>0.0355392359848277</v>
      </c>
      <c r="C17" s="67" t="s">
        <v>38</v>
      </c>
      <c r="D17" s="68">
        <f>XIRR(E44:E54,B44:B54)</f>
        <v>0.0358004326926924</v>
      </c>
      <c r="E17"/>
      <c r="F17"/>
      <c r="G17"/>
      <c r="H17"/>
      <c r="I17"/>
    </row>
    <row r="18" ht="17.6" spans="1:1024 1025:5010">
      <c r="A18"/>
      <c r="B18"/>
      <c r="C18" s="67" t="s">
        <v>39</v>
      </c>
      <c r="D18" s="69">
        <f>D16-D17</f>
        <v>-0.000395809513084044</v>
      </c>
      <c r="E18"/>
      <c r="F18"/>
      <c r="G18"/>
      <c r="H18"/>
      <c r="I18"/>
    </row>
    <row r="19" spans="1:1024 1025:5010">
      <c r="A19"/>
      <c r="B19"/>
      <c r="C19"/>
      <c r="D19"/>
      <c r="E19"/>
      <c r="F19"/>
      <c r="G19"/>
      <c r="H19"/>
      <c r="I19"/>
    </row>
    <row r="20" spans="1:1024 1025:5010">
      <c r="A20"/>
      <c r="B20"/>
      <c r="C20"/>
      <c r="D20"/>
      <c r="E20"/>
      <c r="F20"/>
      <c r="G20"/>
      <c r="H20"/>
      <c r="I20"/>
    </row>
    <row r="21" ht="17.6" spans="1:1024 1025:5010">
      <c r="A21" s="52" t="s">
        <v>40</v>
      </c>
      <c r="B21" s="70">
        <f>EDATE(B13,6)</f>
        <v>46341</v>
      </c>
      <c r="C21"/>
      <c r="D21"/>
      <c r="E21"/>
      <c r="F21"/>
      <c r="G21"/>
      <c r="H21"/>
      <c r="I21"/>
    </row>
    <row r="22" ht="17.6" spans="1:1024 1025:5010">
      <c r="A22" s="52" t="s">
        <v>41</v>
      </c>
      <c r="B22" s="60">
        <v>3</v>
      </c>
      <c r="C22"/>
      <c r="D22"/>
      <c r="E22"/>
      <c r="F22"/>
      <c r="G22"/>
      <c r="H22"/>
      <c r="I22"/>
    </row>
    <row r="23" ht="17.6" spans="1:1024 1025:5010">
      <c r="A23" s="52" t="s">
        <v>42</v>
      </c>
      <c r="B23" s="63">
        <f>DATEDIF(B13,B21,"M")</f>
        <v>6</v>
      </c>
      <c r="C23"/>
      <c r="D23"/>
      <c r="E23"/>
      <c r="F23"/>
      <c r="G23"/>
      <c r="H23"/>
      <c r="I23"/>
    </row>
    <row r="24" spans="1:1024 1025:5010">
      <c r="A24"/>
      <c r="B24"/>
      <c r="C24"/>
      <c r="D24"/>
      <c r="E24"/>
      <c r="F24"/>
      <c r="G24"/>
      <c r="H24"/>
      <c r="I24"/>
    </row>
    <row r="25" spans="1:1024 1025:5010">
      <c r="A25"/>
      <c r="B25"/>
      <c r="C25"/>
      <c r="D25"/>
      <c r="E25"/>
      <c r="F25"/>
      <c r="G25"/>
      <c r="H25"/>
      <c r="I25"/>
    </row>
    <row r="26" ht="23.2" spans="1:1024 1025:5010">
      <c r="A26" s="71" t="s">
        <v>43</v>
      </c>
      <c r="B26"/>
      <c r="C26"/>
      <c r="D26"/>
      <c r="E26"/>
      <c r="F26"/>
      <c r="G26"/>
      <c r="H26"/>
      <c r="I26"/>
    </row>
    <row r="27" s="18" customFormat="1" ht="36" spans="1:1024 1025:5010">
      <c r="A27" s="72" t="s">
        <v>44</v>
      </c>
      <c r="B27" s="72" t="s">
        <v>45</v>
      </c>
      <c r="C27" s="72" t="s">
        <v>46</v>
      </c>
      <c r="D27" s="72" t="s">
        <v>47</v>
      </c>
      <c r="E27" s="72" t="s">
        <v>48</v>
      </c>
      <c r="F27" s="72" t="s">
        <v>49</v>
      </c>
      <c r="G27" s="72" t="s">
        <v>50</v>
      </c>
      <c r="H27" s="72" t="s">
        <v>51</v>
      </c>
      <c r="I27" s="72" t="s">
        <v>52</v>
      </c>
      <c r="J27" s="72" t="s">
        <v>53</v>
      </c>
      <c r="K27"/>
      <c r="L27"/>
      <c r="M27" s="73" t="s">
        <v>55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  <c r="AMK27"/>
      <c r="AML27"/>
      <c r="AMM27"/>
      <c r="AMN27"/>
      <c r="AMO27"/>
      <c r="AMP27"/>
      <c r="AMQ27"/>
      <c r="AMR27"/>
      <c r="AMS27"/>
      <c r="AMT27"/>
      <c r="AMU27"/>
      <c r="AMV27"/>
      <c r="AMW27"/>
      <c r="AMX27"/>
      <c r="AMY27"/>
      <c r="AMZ27"/>
      <c r="ANA27"/>
      <c r="ANB27"/>
      <c r="ANC27"/>
      <c r="AND27"/>
      <c r="ANE27"/>
      <c r="ANF27"/>
      <c r="ANG27"/>
      <c r="ANH27"/>
      <c r="ANI27"/>
      <c r="ANJ27"/>
      <c r="ANK27"/>
      <c r="ANL27"/>
      <c r="ANM27"/>
      <c r="ANN27"/>
      <c r="ANO27"/>
      <c r="ANP27"/>
      <c r="ANQ27"/>
      <c r="ANR27"/>
      <c r="ANS27"/>
      <c r="ANT27"/>
      <c r="ANU27"/>
      <c r="ANV27"/>
      <c r="ANW27"/>
      <c r="ANX27"/>
      <c r="ANY27"/>
      <c r="ANZ27"/>
      <c r="AOA27"/>
      <c r="AOB27"/>
      <c r="AOC27"/>
      <c r="AOD27"/>
      <c r="AOE27"/>
      <c r="AOF27"/>
      <c r="AOG27"/>
      <c r="AOH27"/>
      <c r="AOI27"/>
      <c r="AOJ27"/>
      <c r="AOK27"/>
      <c r="AOL27"/>
      <c r="AOM27"/>
      <c r="AON27"/>
      <c r="AOO27"/>
      <c r="AOP27"/>
      <c r="AOQ27"/>
      <c r="AOR27"/>
      <c r="AOS27"/>
      <c r="AOT27"/>
      <c r="AOU27"/>
      <c r="AOV27"/>
      <c r="AOW27"/>
      <c r="AOX27"/>
      <c r="AOY27"/>
      <c r="AOZ27"/>
      <c r="APA27"/>
      <c r="APB27"/>
      <c r="APC27"/>
      <c r="APD27"/>
      <c r="APE27"/>
      <c r="APF27"/>
      <c r="APG27"/>
      <c r="APH27"/>
      <c r="API27"/>
      <c r="APJ27"/>
      <c r="APK27"/>
      <c r="APL27"/>
      <c r="APM27"/>
      <c r="APN27"/>
      <c r="APO27"/>
      <c r="APP27"/>
      <c r="APQ27"/>
      <c r="APR27"/>
      <c r="APS27"/>
      <c r="APT27"/>
      <c r="APU27"/>
      <c r="APV27"/>
      <c r="APW27"/>
      <c r="APX27"/>
      <c r="APY27"/>
      <c r="APZ27"/>
      <c r="AQA27"/>
      <c r="AQB27"/>
      <c r="AQC27"/>
      <c r="AQD27"/>
      <c r="AQE27"/>
      <c r="AQF27"/>
      <c r="AQG27"/>
      <c r="AQH27"/>
      <c r="AQI27"/>
      <c r="AQJ27"/>
      <c r="AQK27"/>
      <c r="AQL27"/>
      <c r="AQM27"/>
      <c r="AQN27"/>
      <c r="AQO27"/>
      <c r="AQP27"/>
      <c r="AQQ27"/>
      <c r="AQR27"/>
      <c r="AQS27"/>
      <c r="AQT27"/>
      <c r="AQU27"/>
      <c r="AQV27"/>
      <c r="AQW27"/>
      <c r="AQX27"/>
      <c r="AQY27"/>
      <c r="AQZ27"/>
      <c r="ARA27"/>
      <c r="ARB27"/>
      <c r="ARC27"/>
      <c r="ARD27"/>
      <c r="ARE27"/>
      <c r="ARF27"/>
      <c r="ARG27"/>
      <c r="ARH27"/>
      <c r="ARI27"/>
      <c r="ARJ27"/>
      <c r="ARK27"/>
      <c r="ARL27"/>
      <c r="ARM27"/>
      <c r="ARN27"/>
      <c r="ARO27"/>
      <c r="ARP27"/>
      <c r="ARQ27"/>
      <c r="ARR27"/>
      <c r="ARS27"/>
      <c r="ART27"/>
      <c r="ARU27"/>
      <c r="ARV27"/>
      <c r="ARW27"/>
      <c r="ARX27"/>
      <c r="ARY27"/>
      <c r="ARZ27"/>
      <c r="ASA27"/>
      <c r="ASB27"/>
      <c r="ASC27"/>
      <c r="ASD27"/>
      <c r="ASE27"/>
      <c r="ASF27"/>
      <c r="ASG27"/>
      <c r="ASH27"/>
      <c r="ASI27"/>
      <c r="ASJ27"/>
      <c r="ASK27"/>
      <c r="ASL27"/>
      <c r="ASM27"/>
      <c r="ASN27"/>
      <c r="ASO27"/>
      <c r="ASP27"/>
      <c r="ASQ27"/>
      <c r="ASR27"/>
      <c r="ASS27"/>
      <c r="AST27"/>
      <c r="ASU27"/>
      <c r="ASV27"/>
      <c r="ASW27"/>
      <c r="ASX27"/>
      <c r="ASY27"/>
      <c r="ASZ27"/>
      <c r="ATA27"/>
      <c r="ATB27"/>
      <c r="ATC27"/>
      <c r="ATD27"/>
      <c r="ATE27"/>
      <c r="ATF27"/>
      <c r="ATG27"/>
      <c r="ATH27"/>
      <c r="ATI27"/>
      <c r="ATJ27"/>
      <c r="ATK27"/>
      <c r="ATL27"/>
      <c r="ATM27"/>
      <c r="ATN27"/>
      <c r="ATO27"/>
      <c r="ATP27"/>
      <c r="ATQ27"/>
      <c r="ATR27"/>
      <c r="ATS27"/>
      <c r="ATT27"/>
      <c r="ATU27"/>
      <c r="ATV27"/>
      <c r="ATW27"/>
      <c r="ATX27"/>
      <c r="ATY27"/>
      <c r="ATZ27"/>
      <c r="AUA27"/>
      <c r="AUB27"/>
      <c r="AUC27"/>
      <c r="AUD27"/>
      <c r="AUE27"/>
      <c r="AUF27"/>
      <c r="AUG27"/>
      <c r="AUH27"/>
      <c r="AUI27"/>
      <c r="AUJ27"/>
      <c r="AUK27"/>
      <c r="AUL27"/>
      <c r="AUM27"/>
      <c r="AUN27"/>
      <c r="AUO27"/>
      <c r="AUP27"/>
      <c r="AUQ27"/>
      <c r="AUR27"/>
      <c r="AUS27"/>
      <c r="AUT27"/>
      <c r="AUU27"/>
      <c r="AUV27"/>
      <c r="AUW27"/>
      <c r="AUX27"/>
      <c r="AUY27"/>
      <c r="AUZ27"/>
      <c r="AVA27"/>
      <c r="AVB27"/>
      <c r="AVC27"/>
      <c r="AVD27"/>
      <c r="AVE27"/>
      <c r="AVF27"/>
      <c r="AVG27"/>
      <c r="AVH27"/>
      <c r="AVI27"/>
      <c r="AVJ27"/>
      <c r="AVK27"/>
      <c r="AVL27"/>
      <c r="AVM27"/>
      <c r="AVN27"/>
      <c r="AVO27"/>
      <c r="AVP27"/>
      <c r="AVQ27"/>
      <c r="AVR27"/>
      <c r="AVS27"/>
      <c r="AVT27"/>
      <c r="AVU27"/>
      <c r="AVV27"/>
      <c r="AVW27"/>
      <c r="AVX27"/>
      <c r="AVY27"/>
      <c r="AVZ27"/>
      <c r="AWA27"/>
      <c r="AWB27"/>
      <c r="AWC27"/>
      <c r="AWD27"/>
      <c r="AWE27"/>
      <c r="AWF27"/>
      <c r="AWG27"/>
      <c r="AWH27"/>
      <c r="AWI27"/>
      <c r="AWJ27"/>
      <c r="AWK27"/>
      <c r="AWL27"/>
      <c r="AWM27"/>
      <c r="AWN27"/>
      <c r="AWO27"/>
      <c r="AWP27"/>
      <c r="AWQ27"/>
      <c r="AWR27"/>
      <c r="AWS27"/>
      <c r="AWT27"/>
      <c r="AWU27"/>
      <c r="AWV27"/>
      <c r="AWW27"/>
      <c r="AWX27"/>
      <c r="AWY27"/>
      <c r="AWZ27"/>
      <c r="AXA27"/>
      <c r="AXB27"/>
      <c r="AXC27"/>
      <c r="AXD27"/>
      <c r="AXE27"/>
      <c r="AXF27"/>
      <c r="AXG27"/>
      <c r="AXH27"/>
      <c r="AXI27"/>
      <c r="AXJ27"/>
      <c r="AXK27"/>
      <c r="AXL27"/>
      <c r="AXM27"/>
      <c r="AXN27"/>
      <c r="AXO27"/>
      <c r="AXP27"/>
      <c r="AXQ27"/>
      <c r="AXR27"/>
      <c r="AXS27"/>
      <c r="AXT27"/>
      <c r="AXU27"/>
      <c r="AXV27"/>
      <c r="AXW27"/>
      <c r="AXX27"/>
      <c r="AXY27"/>
      <c r="AXZ27"/>
      <c r="AYA27"/>
      <c r="AYB27"/>
      <c r="AYC27"/>
      <c r="AYD27"/>
      <c r="AYE27"/>
      <c r="AYF27"/>
      <c r="AYG27"/>
      <c r="AYH27"/>
      <c r="AYI27"/>
      <c r="AYJ27"/>
      <c r="AYK27"/>
      <c r="AYL27"/>
      <c r="AYM27"/>
      <c r="AYN27"/>
      <c r="AYO27"/>
      <c r="AYP27"/>
      <c r="AYQ27"/>
      <c r="AYR27"/>
      <c r="AYS27"/>
      <c r="AYT27"/>
      <c r="AYU27"/>
      <c r="AYV27"/>
      <c r="AYW27"/>
      <c r="AYX27"/>
      <c r="AYY27"/>
      <c r="AYZ27"/>
      <c r="AZA27"/>
      <c r="AZB27"/>
      <c r="AZC27"/>
      <c r="AZD27"/>
      <c r="AZE27"/>
      <c r="AZF27"/>
      <c r="AZG27"/>
      <c r="AZH27"/>
      <c r="AZI27"/>
      <c r="AZJ27"/>
      <c r="AZK27"/>
      <c r="AZL27"/>
      <c r="AZM27"/>
      <c r="AZN27"/>
      <c r="AZO27"/>
      <c r="AZP27"/>
      <c r="AZQ27"/>
      <c r="AZR27"/>
      <c r="AZS27"/>
      <c r="AZT27"/>
      <c r="AZU27"/>
      <c r="AZV27"/>
      <c r="AZW27"/>
      <c r="AZX27"/>
      <c r="AZY27"/>
      <c r="AZZ27"/>
      <c r="BAA27"/>
      <c r="BAB27"/>
      <c r="BAC27"/>
      <c r="BAD27"/>
      <c r="BAE27"/>
      <c r="BAF27"/>
      <c r="BAG27"/>
      <c r="BAH27"/>
      <c r="BAI27"/>
      <c r="BAJ27"/>
      <c r="BAK27"/>
      <c r="BAL27"/>
      <c r="BAM27"/>
      <c r="BAN27"/>
      <c r="BAO27"/>
      <c r="BAP27"/>
      <c r="BAQ27"/>
      <c r="BAR27"/>
      <c r="BAS27"/>
      <c r="BAT27"/>
      <c r="BAU27"/>
      <c r="BAV27"/>
      <c r="BAW27"/>
      <c r="BAX27"/>
      <c r="BAY27"/>
      <c r="BAZ27"/>
      <c r="BBA27"/>
      <c r="BBB27"/>
      <c r="BBC27"/>
      <c r="BBD27"/>
      <c r="BBE27"/>
      <c r="BBF27"/>
      <c r="BBG27"/>
      <c r="BBH27"/>
      <c r="BBI27"/>
      <c r="BBJ27"/>
      <c r="BBK27"/>
      <c r="BBL27"/>
      <c r="BBM27"/>
      <c r="BBN27"/>
      <c r="BBO27"/>
      <c r="BBP27"/>
      <c r="BBQ27"/>
      <c r="BBR27"/>
      <c r="BBS27"/>
      <c r="BBT27"/>
      <c r="BBU27"/>
      <c r="BBV27"/>
      <c r="BBW27"/>
      <c r="BBX27"/>
      <c r="BBY27"/>
      <c r="BBZ27"/>
      <c r="BCA27"/>
      <c r="BCB27"/>
      <c r="BCC27"/>
      <c r="BCD27"/>
      <c r="BCE27"/>
      <c r="BCF27"/>
      <c r="BCG27"/>
      <c r="BCH27"/>
      <c r="BCI27"/>
      <c r="BCJ27"/>
      <c r="BCK27"/>
      <c r="BCL27"/>
      <c r="BCM27"/>
      <c r="BCN27"/>
      <c r="BCO27"/>
      <c r="BCP27"/>
      <c r="BCQ27"/>
      <c r="BCR27"/>
      <c r="BCS27"/>
      <c r="BCT27"/>
      <c r="BCU27"/>
      <c r="BCV27"/>
      <c r="BCW27"/>
      <c r="BCX27"/>
      <c r="BCY27"/>
      <c r="BCZ27"/>
      <c r="BDA27"/>
      <c r="BDB27"/>
      <c r="BDC27"/>
      <c r="BDD27"/>
      <c r="BDE27"/>
      <c r="BDF27"/>
      <c r="BDG27"/>
      <c r="BDH27"/>
      <c r="BDI27"/>
      <c r="BDJ27"/>
      <c r="BDK27"/>
      <c r="BDL27"/>
      <c r="BDM27"/>
      <c r="BDN27"/>
      <c r="BDO27"/>
      <c r="BDP27"/>
      <c r="BDQ27"/>
      <c r="BDR27"/>
      <c r="BDS27"/>
      <c r="BDT27"/>
      <c r="BDU27"/>
      <c r="BDV27"/>
      <c r="BDW27"/>
      <c r="BDX27"/>
      <c r="BDY27"/>
      <c r="BDZ27"/>
      <c r="BEA27"/>
      <c r="BEB27"/>
      <c r="BEC27"/>
      <c r="BED27"/>
      <c r="BEE27"/>
      <c r="BEF27"/>
      <c r="BEG27"/>
      <c r="BEH27"/>
      <c r="BEI27"/>
      <c r="BEJ27"/>
      <c r="BEK27"/>
      <c r="BEL27"/>
      <c r="BEM27"/>
      <c r="BEN27"/>
      <c r="BEO27"/>
      <c r="BEP27"/>
      <c r="BEQ27"/>
      <c r="BER27"/>
      <c r="BES27"/>
      <c r="BET27"/>
      <c r="BEU27"/>
      <c r="BEV27"/>
      <c r="BEW27"/>
      <c r="BEX27"/>
      <c r="BEY27"/>
      <c r="BEZ27"/>
      <c r="BFA27"/>
      <c r="BFB27"/>
      <c r="BFC27"/>
      <c r="BFD27"/>
      <c r="BFE27"/>
      <c r="BFF27"/>
      <c r="BFG27"/>
      <c r="BFH27"/>
      <c r="BFI27"/>
      <c r="BFJ27"/>
      <c r="BFK27"/>
      <c r="BFL27"/>
      <c r="BFM27"/>
      <c r="BFN27"/>
      <c r="BFO27"/>
      <c r="BFP27"/>
      <c r="BFQ27"/>
      <c r="BFR27"/>
      <c r="BFS27"/>
      <c r="BFT27"/>
      <c r="BFU27"/>
      <c r="BFV27"/>
      <c r="BFW27"/>
      <c r="BFX27"/>
      <c r="BFY27"/>
      <c r="BFZ27"/>
      <c r="BGA27"/>
      <c r="BGB27"/>
      <c r="BGC27"/>
      <c r="BGD27"/>
      <c r="BGE27"/>
      <c r="BGF27"/>
      <c r="BGG27"/>
      <c r="BGH27"/>
      <c r="BGI27"/>
      <c r="BGJ27"/>
      <c r="BGK27"/>
      <c r="BGL27"/>
      <c r="BGM27"/>
      <c r="BGN27"/>
      <c r="BGO27"/>
      <c r="BGP27"/>
      <c r="BGQ27"/>
      <c r="BGR27"/>
      <c r="BGS27"/>
      <c r="BGT27"/>
      <c r="BGU27"/>
      <c r="BGV27"/>
      <c r="BGW27"/>
      <c r="BGX27"/>
      <c r="BGY27"/>
      <c r="BGZ27"/>
      <c r="BHA27"/>
      <c r="BHB27"/>
      <c r="BHC27"/>
      <c r="BHD27"/>
      <c r="BHE27"/>
      <c r="BHF27"/>
      <c r="BHG27"/>
      <c r="BHH27"/>
      <c r="BHI27"/>
      <c r="BHJ27"/>
      <c r="BHK27"/>
      <c r="BHL27"/>
      <c r="BHM27"/>
      <c r="BHN27"/>
      <c r="BHO27"/>
      <c r="BHP27"/>
      <c r="BHQ27"/>
      <c r="BHR27"/>
      <c r="BHS27"/>
      <c r="BHT27"/>
      <c r="BHU27"/>
      <c r="BHV27"/>
      <c r="BHW27"/>
      <c r="BHX27"/>
      <c r="BHY27"/>
      <c r="BHZ27"/>
      <c r="BIA27"/>
      <c r="BIB27"/>
      <c r="BIC27"/>
      <c r="BID27"/>
      <c r="BIE27"/>
      <c r="BIF27"/>
      <c r="BIG27"/>
      <c r="BIH27"/>
      <c r="BII27"/>
      <c r="BIJ27"/>
      <c r="BIK27"/>
      <c r="BIL27"/>
      <c r="BIM27"/>
      <c r="BIN27"/>
      <c r="BIO27"/>
      <c r="BIP27"/>
      <c r="BIQ27"/>
      <c r="BIR27"/>
      <c r="BIS27"/>
      <c r="BIT27"/>
      <c r="BIU27"/>
      <c r="BIV27"/>
      <c r="BIW27"/>
      <c r="BIX27"/>
      <c r="BIY27"/>
      <c r="BIZ27"/>
      <c r="BJA27"/>
      <c r="BJB27"/>
      <c r="BJC27"/>
      <c r="BJD27"/>
      <c r="BJE27"/>
      <c r="BJF27"/>
      <c r="BJG27"/>
      <c r="BJH27"/>
      <c r="BJI27"/>
      <c r="BJJ27"/>
      <c r="BJK27"/>
      <c r="BJL27"/>
      <c r="BJM27"/>
      <c r="BJN27"/>
      <c r="BJO27"/>
      <c r="BJP27"/>
      <c r="BJQ27"/>
      <c r="BJR27"/>
      <c r="BJS27"/>
      <c r="BJT27"/>
      <c r="BJU27"/>
      <c r="BJV27"/>
      <c r="BJW27"/>
      <c r="BJX27"/>
      <c r="BJY27"/>
      <c r="BJZ27"/>
      <c r="BKA27"/>
      <c r="BKB27"/>
      <c r="BKC27"/>
      <c r="BKD27"/>
      <c r="BKE27"/>
      <c r="BKF27"/>
      <c r="BKG27"/>
      <c r="BKH27"/>
      <c r="BKI27"/>
      <c r="BKJ27"/>
      <c r="BKK27"/>
      <c r="BKL27"/>
      <c r="BKM27"/>
      <c r="BKN27"/>
      <c r="BKO27"/>
      <c r="BKP27"/>
      <c r="BKQ27"/>
      <c r="BKR27"/>
      <c r="BKS27"/>
      <c r="BKT27"/>
      <c r="BKU27"/>
      <c r="BKV27"/>
      <c r="BKW27"/>
      <c r="BKX27"/>
      <c r="BKY27"/>
      <c r="BKZ27"/>
      <c r="BLA27"/>
      <c r="BLB27"/>
      <c r="BLC27"/>
      <c r="BLD27"/>
      <c r="BLE27"/>
      <c r="BLF27"/>
      <c r="BLG27"/>
      <c r="BLH27"/>
      <c r="BLI27"/>
      <c r="BLJ27"/>
      <c r="BLK27"/>
      <c r="BLL27"/>
      <c r="BLM27"/>
      <c r="BLN27"/>
      <c r="BLO27"/>
      <c r="BLP27"/>
      <c r="BLQ27"/>
      <c r="BLR27"/>
      <c r="BLS27"/>
      <c r="BLT27"/>
      <c r="BLU27"/>
      <c r="BLV27"/>
      <c r="BLW27"/>
      <c r="BLX27"/>
      <c r="BLY27"/>
      <c r="BLZ27"/>
      <c r="BMA27"/>
      <c r="BMB27"/>
      <c r="BMC27"/>
      <c r="BMD27"/>
      <c r="BME27"/>
      <c r="BMF27"/>
      <c r="BMG27"/>
      <c r="BMH27"/>
      <c r="BMI27"/>
      <c r="BMJ27"/>
      <c r="BMK27"/>
      <c r="BML27"/>
      <c r="BMM27"/>
      <c r="BMN27"/>
      <c r="BMO27"/>
      <c r="BMP27"/>
      <c r="BMQ27"/>
      <c r="BMR27"/>
      <c r="BMS27"/>
      <c r="BMT27"/>
      <c r="BMU27"/>
      <c r="BMV27"/>
      <c r="BMW27"/>
      <c r="BMX27"/>
      <c r="BMY27"/>
      <c r="BMZ27"/>
      <c r="BNA27"/>
      <c r="BNB27"/>
      <c r="BNC27"/>
      <c r="BND27"/>
      <c r="BNE27"/>
      <c r="BNF27"/>
      <c r="BNG27"/>
      <c r="BNH27"/>
      <c r="BNI27"/>
      <c r="BNJ27"/>
      <c r="BNK27"/>
      <c r="BNL27"/>
      <c r="BNM27"/>
      <c r="BNN27"/>
      <c r="BNO27"/>
      <c r="BNP27"/>
      <c r="BNQ27"/>
      <c r="BNR27"/>
      <c r="BNS27"/>
      <c r="BNT27"/>
      <c r="BNU27"/>
      <c r="BNV27"/>
      <c r="BNW27"/>
      <c r="BNX27"/>
      <c r="BNY27"/>
      <c r="BNZ27"/>
      <c r="BOA27"/>
      <c r="BOB27"/>
      <c r="BOC27"/>
      <c r="BOD27"/>
      <c r="BOE27"/>
      <c r="BOF27"/>
      <c r="BOG27"/>
      <c r="BOH27"/>
      <c r="BOI27"/>
      <c r="BOJ27"/>
      <c r="BOK27"/>
      <c r="BOL27"/>
      <c r="BOM27"/>
      <c r="BON27"/>
      <c r="BOO27"/>
      <c r="BOP27"/>
      <c r="BOQ27"/>
      <c r="BOR27"/>
      <c r="BOS27"/>
      <c r="BOT27"/>
      <c r="BOU27"/>
      <c r="BOV27"/>
      <c r="BOW27"/>
      <c r="BOX27"/>
      <c r="BOY27"/>
      <c r="BOZ27"/>
      <c r="BPA27"/>
      <c r="BPB27"/>
      <c r="BPC27"/>
      <c r="BPD27"/>
      <c r="BPE27"/>
      <c r="BPF27"/>
      <c r="BPG27"/>
      <c r="BPH27"/>
      <c r="BPI27"/>
      <c r="BPJ27"/>
      <c r="BPK27"/>
      <c r="BPL27"/>
      <c r="BPM27"/>
      <c r="BPN27"/>
      <c r="BPO27"/>
      <c r="BPP27"/>
      <c r="BPQ27"/>
      <c r="BPR27"/>
      <c r="BPS27"/>
      <c r="BPT27"/>
      <c r="BPU27"/>
      <c r="BPV27"/>
      <c r="BPW27"/>
      <c r="BPX27"/>
      <c r="BPY27"/>
      <c r="BPZ27"/>
      <c r="BQA27"/>
      <c r="BQB27"/>
      <c r="BQC27"/>
      <c r="BQD27"/>
      <c r="BQE27"/>
      <c r="BQF27"/>
      <c r="BQG27"/>
      <c r="BQH27"/>
      <c r="BQI27"/>
      <c r="BQJ27"/>
      <c r="BQK27"/>
      <c r="BQL27"/>
      <c r="BQM27"/>
      <c r="BQN27"/>
      <c r="BQO27"/>
      <c r="BQP27"/>
      <c r="BQQ27"/>
      <c r="BQR27"/>
      <c r="BQS27"/>
      <c r="BQT27"/>
      <c r="BQU27"/>
      <c r="BQV27"/>
      <c r="BQW27"/>
      <c r="BQX27"/>
      <c r="BQY27"/>
      <c r="BQZ27"/>
      <c r="BRA27"/>
      <c r="BRB27"/>
      <c r="BRC27"/>
      <c r="BRD27"/>
      <c r="BRE27"/>
      <c r="BRF27"/>
      <c r="BRG27"/>
      <c r="BRH27"/>
      <c r="BRI27"/>
      <c r="BRJ27"/>
      <c r="BRK27"/>
      <c r="BRL27"/>
      <c r="BRM27"/>
      <c r="BRN27"/>
      <c r="BRO27"/>
      <c r="BRP27"/>
      <c r="BRQ27"/>
      <c r="BRR27"/>
      <c r="BRS27"/>
      <c r="BRT27"/>
      <c r="BRU27"/>
      <c r="BRV27"/>
      <c r="BRW27"/>
      <c r="BRX27"/>
      <c r="BRY27"/>
      <c r="BRZ27"/>
      <c r="BSA27"/>
      <c r="BSB27"/>
      <c r="BSC27"/>
      <c r="BSD27"/>
      <c r="BSE27"/>
      <c r="BSF27"/>
      <c r="BSG27"/>
      <c r="BSH27"/>
      <c r="BSI27"/>
      <c r="BSJ27"/>
      <c r="BSK27"/>
      <c r="BSL27"/>
      <c r="BSM27"/>
      <c r="BSN27"/>
      <c r="BSO27"/>
      <c r="BSP27"/>
      <c r="BSQ27"/>
      <c r="BSR27"/>
      <c r="BSS27"/>
      <c r="BST27"/>
      <c r="BSU27"/>
      <c r="BSV27"/>
      <c r="BSW27"/>
      <c r="BSX27"/>
      <c r="BSY27"/>
      <c r="BSZ27"/>
      <c r="BTA27"/>
      <c r="BTB27"/>
      <c r="BTC27"/>
      <c r="BTD27"/>
      <c r="BTE27"/>
      <c r="BTF27"/>
      <c r="BTG27"/>
      <c r="BTH27"/>
      <c r="BTI27"/>
      <c r="BTJ27"/>
      <c r="BTK27"/>
      <c r="BTL27"/>
      <c r="BTM27"/>
      <c r="BTN27"/>
      <c r="BTO27"/>
      <c r="BTP27"/>
      <c r="BTQ27"/>
      <c r="BTR27"/>
      <c r="BTS27"/>
      <c r="BTT27"/>
      <c r="BTU27"/>
      <c r="BTV27"/>
      <c r="BTW27"/>
      <c r="BTX27"/>
      <c r="BTY27"/>
      <c r="BTZ27"/>
      <c r="BUA27"/>
      <c r="BUB27"/>
      <c r="BUC27"/>
      <c r="BUD27"/>
      <c r="BUE27"/>
      <c r="BUF27"/>
      <c r="BUG27"/>
      <c r="BUH27"/>
      <c r="BUI27"/>
      <c r="BUJ27"/>
      <c r="BUK27"/>
      <c r="BUL27"/>
      <c r="BUM27"/>
      <c r="BUN27"/>
      <c r="BUO27"/>
      <c r="BUP27"/>
      <c r="BUQ27"/>
      <c r="BUR27"/>
      <c r="BUS27"/>
      <c r="BUT27"/>
      <c r="BUU27"/>
      <c r="BUV27"/>
      <c r="BUW27"/>
      <c r="BUX27"/>
      <c r="BUY27"/>
      <c r="BUZ27"/>
      <c r="BVA27"/>
      <c r="BVB27"/>
      <c r="BVC27"/>
      <c r="BVD27"/>
      <c r="BVE27"/>
      <c r="BVF27"/>
      <c r="BVG27"/>
      <c r="BVH27"/>
      <c r="BVI27"/>
      <c r="BVJ27"/>
      <c r="BVK27"/>
      <c r="BVL27"/>
      <c r="BVM27"/>
      <c r="BVN27"/>
      <c r="BVO27"/>
      <c r="BVP27"/>
      <c r="BVQ27"/>
      <c r="BVR27"/>
      <c r="BVS27"/>
      <c r="BVT27"/>
      <c r="BVU27"/>
      <c r="BVV27"/>
      <c r="BVW27"/>
      <c r="BVX27"/>
      <c r="BVY27"/>
      <c r="BVZ27"/>
      <c r="BWA27"/>
      <c r="BWB27"/>
      <c r="BWC27"/>
      <c r="BWD27"/>
      <c r="BWE27"/>
      <c r="BWF27"/>
      <c r="BWG27"/>
      <c r="BWH27"/>
      <c r="BWI27"/>
      <c r="BWJ27"/>
      <c r="BWK27"/>
      <c r="BWL27"/>
      <c r="BWM27"/>
      <c r="BWN27"/>
      <c r="BWO27"/>
      <c r="BWP27"/>
      <c r="BWQ27"/>
      <c r="BWR27"/>
      <c r="BWS27"/>
      <c r="BWT27"/>
      <c r="BWU27"/>
      <c r="BWV27"/>
      <c r="BWW27"/>
      <c r="BWX27"/>
      <c r="BWY27"/>
      <c r="BWZ27"/>
      <c r="BXA27"/>
      <c r="BXB27"/>
      <c r="BXC27"/>
      <c r="BXD27"/>
      <c r="BXE27"/>
      <c r="BXF27"/>
      <c r="BXG27"/>
      <c r="BXH27"/>
      <c r="BXI27"/>
      <c r="BXJ27"/>
      <c r="BXK27"/>
      <c r="BXL27"/>
      <c r="BXM27"/>
      <c r="BXN27"/>
      <c r="BXO27"/>
      <c r="BXP27"/>
      <c r="BXQ27"/>
      <c r="BXR27"/>
      <c r="BXS27"/>
      <c r="BXT27"/>
      <c r="BXU27"/>
      <c r="BXV27"/>
      <c r="BXW27"/>
      <c r="BXX27"/>
      <c r="BXY27"/>
      <c r="BXZ27"/>
      <c r="BYA27"/>
      <c r="BYB27"/>
      <c r="BYC27"/>
      <c r="BYD27"/>
      <c r="BYE27"/>
      <c r="BYF27"/>
      <c r="BYG27"/>
      <c r="BYH27"/>
      <c r="BYI27"/>
      <c r="BYJ27"/>
      <c r="BYK27"/>
      <c r="BYL27"/>
      <c r="BYM27"/>
      <c r="BYN27"/>
      <c r="BYO27"/>
      <c r="BYP27"/>
      <c r="BYQ27"/>
      <c r="BYR27"/>
      <c r="BYS27"/>
      <c r="BYT27"/>
      <c r="BYU27"/>
      <c r="BYV27"/>
      <c r="BYW27"/>
      <c r="BYX27"/>
      <c r="BYY27"/>
      <c r="BYZ27"/>
      <c r="BZA27"/>
      <c r="BZB27"/>
      <c r="BZC27"/>
      <c r="BZD27"/>
      <c r="BZE27"/>
      <c r="BZF27"/>
      <c r="BZG27"/>
      <c r="BZH27"/>
      <c r="BZI27"/>
      <c r="BZJ27"/>
      <c r="BZK27"/>
      <c r="BZL27"/>
      <c r="BZM27"/>
      <c r="BZN27"/>
      <c r="BZO27"/>
      <c r="BZP27"/>
      <c r="BZQ27"/>
      <c r="BZR27"/>
      <c r="BZS27"/>
      <c r="BZT27"/>
      <c r="BZU27"/>
      <c r="BZV27"/>
      <c r="BZW27"/>
      <c r="BZX27"/>
      <c r="BZY27"/>
      <c r="BZZ27"/>
      <c r="CAA27"/>
      <c r="CAB27"/>
      <c r="CAC27"/>
      <c r="CAD27"/>
      <c r="CAE27"/>
      <c r="CAF27"/>
      <c r="CAG27"/>
      <c r="CAH27"/>
      <c r="CAI27"/>
      <c r="CAJ27"/>
      <c r="CAK27"/>
      <c r="CAL27"/>
      <c r="CAM27"/>
      <c r="CAN27"/>
      <c r="CAO27"/>
      <c r="CAP27"/>
      <c r="CAQ27"/>
      <c r="CAR27"/>
      <c r="CAS27"/>
      <c r="CAT27"/>
      <c r="CAU27"/>
      <c r="CAV27"/>
      <c r="CAW27"/>
      <c r="CAX27"/>
      <c r="CAY27"/>
      <c r="CAZ27"/>
      <c r="CBA27"/>
      <c r="CBB27"/>
      <c r="CBC27"/>
      <c r="CBD27"/>
      <c r="CBE27"/>
      <c r="CBF27"/>
      <c r="CBG27"/>
      <c r="CBH27"/>
      <c r="CBI27"/>
      <c r="CBJ27"/>
      <c r="CBK27"/>
      <c r="CBL27"/>
      <c r="CBM27"/>
      <c r="CBN27"/>
      <c r="CBO27"/>
      <c r="CBP27"/>
      <c r="CBQ27"/>
      <c r="CBR27"/>
      <c r="CBS27"/>
      <c r="CBT27"/>
      <c r="CBU27"/>
      <c r="CBV27"/>
      <c r="CBW27"/>
      <c r="CBX27"/>
      <c r="CBY27"/>
      <c r="CBZ27"/>
      <c r="CCA27"/>
      <c r="CCB27"/>
      <c r="CCC27"/>
      <c r="CCD27"/>
      <c r="CCE27"/>
      <c r="CCF27"/>
      <c r="CCG27"/>
      <c r="CCH27"/>
      <c r="CCI27"/>
      <c r="CCJ27"/>
      <c r="CCK27"/>
      <c r="CCL27"/>
      <c r="CCM27"/>
      <c r="CCN27"/>
      <c r="CCO27"/>
      <c r="CCP27"/>
      <c r="CCQ27"/>
      <c r="CCR27"/>
      <c r="CCS27"/>
      <c r="CCT27"/>
      <c r="CCU27"/>
      <c r="CCV27"/>
      <c r="CCW27"/>
      <c r="CCX27"/>
      <c r="CCY27"/>
      <c r="CCZ27"/>
      <c r="CDA27"/>
      <c r="CDB27"/>
      <c r="CDC27"/>
      <c r="CDD27"/>
      <c r="CDE27"/>
      <c r="CDF27"/>
      <c r="CDG27"/>
      <c r="CDH27"/>
      <c r="CDI27"/>
      <c r="CDJ27"/>
      <c r="CDK27"/>
      <c r="CDL27"/>
      <c r="CDM27"/>
      <c r="CDN27"/>
      <c r="CDO27"/>
      <c r="CDP27"/>
      <c r="CDQ27"/>
      <c r="CDR27"/>
      <c r="CDS27"/>
      <c r="CDT27"/>
      <c r="CDU27"/>
      <c r="CDV27"/>
      <c r="CDW27"/>
      <c r="CDX27"/>
      <c r="CDY27"/>
      <c r="CDZ27"/>
      <c r="CEA27"/>
      <c r="CEB27"/>
      <c r="CEC27"/>
      <c r="CED27"/>
      <c r="CEE27"/>
      <c r="CEF27"/>
      <c r="CEG27"/>
      <c r="CEH27"/>
      <c r="CEI27"/>
      <c r="CEJ27"/>
      <c r="CEK27"/>
      <c r="CEL27"/>
      <c r="CEM27"/>
      <c r="CEN27"/>
      <c r="CEO27"/>
      <c r="CEP27"/>
      <c r="CEQ27"/>
      <c r="CER27"/>
      <c r="CES27"/>
      <c r="CET27"/>
      <c r="CEU27"/>
      <c r="CEV27"/>
      <c r="CEW27"/>
      <c r="CEX27"/>
      <c r="CEY27"/>
      <c r="CEZ27"/>
      <c r="CFA27"/>
      <c r="CFB27"/>
      <c r="CFC27"/>
      <c r="CFD27"/>
      <c r="CFE27"/>
      <c r="CFF27"/>
      <c r="CFG27"/>
      <c r="CFH27"/>
      <c r="CFI27"/>
      <c r="CFJ27"/>
      <c r="CFK27"/>
      <c r="CFL27"/>
      <c r="CFM27"/>
      <c r="CFN27"/>
      <c r="CFO27"/>
      <c r="CFP27"/>
      <c r="CFQ27"/>
      <c r="CFR27"/>
      <c r="CFS27"/>
      <c r="CFT27"/>
      <c r="CFU27"/>
      <c r="CFV27"/>
      <c r="CFW27"/>
      <c r="CFX27"/>
      <c r="CFY27"/>
      <c r="CFZ27"/>
      <c r="CGA27"/>
      <c r="CGB27"/>
      <c r="CGC27"/>
      <c r="CGD27"/>
      <c r="CGE27"/>
      <c r="CGF27"/>
      <c r="CGG27"/>
      <c r="CGH27"/>
      <c r="CGI27"/>
      <c r="CGJ27"/>
      <c r="CGK27"/>
      <c r="CGL27"/>
      <c r="CGM27"/>
      <c r="CGN27"/>
      <c r="CGO27"/>
      <c r="CGP27"/>
      <c r="CGQ27"/>
      <c r="CGR27"/>
      <c r="CGS27"/>
      <c r="CGT27"/>
      <c r="CGU27"/>
      <c r="CGV27"/>
      <c r="CGW27"/>
      <c r="CGX27"/>
      <c r="CGY27"/>
      <c r="CGZ27"/>
      <c r="CHA27"/>
      <c r="CHB27"/>
      <c r="CHC27"/>
      <c r="CHD27"/>
      <c r="CHE27"/>
      <c r="CHF27"/>
      <c r="CHG27"/>
      <c r="CHH27"/>
      <c r="CHI27"/>
      <c r="CHJ27"/>
      <c r="CHK27"/>
      <c r="CHL27"/>
      <c r="CHM27"/>
      <c r="CHN27"/>
      <c r="CHO27"/>
      <c r="CHP27"/>
      <c r="CHQ27"/>
      <c r="CHR27"/>
      <c r="CHS27"/>
      <c r="CHT27"/>
      <c r="CHU27"/>
      <c r="CHV27"/>
      <c r="CHW27"/>
      <c r="CHX27"/>
      <c r="CHY27"/>
      <c r="CHZ27"/>
      <c r="CIA27"/>
      <c r="CIB27"/>
      <c r="CIC27"/>
      <c r="CID27"/>
      <c r="CIE27"/>
      <c r="CIF27"/>
      <c r="CIG27"/>
      <c r="CIH27"/>
      <c r="CII27"/>
      <c r="CIJ27"/>
      <c r="CIK27"/>
      <c r="CIL27"/>
      <c r="CIM27"/>
      <c r="CIN27"/>
      <c r="CIO27"/>
      <c r="CIP27"/>
      <c r="CIQ27"/>
      <c r="CIR27"/>
      <c r="CIS27"/>
      <c r="CIT27"/>
      <c r="CIU27"/>
      <c r="CIV27"/>
      <c r="CIW27"/>
      <c r="CIX27"/>
      <c r="CIY27"/>
      <c r="CIZ27"/>
      <c r="CJA27"/>
      <c r="CJB27"/>
      <c r="CJC27"/>
      <c r="CJD27"/>
      <c r="CJE27"/>
      <c r="CJF27"/>
      <c r="CJG27"/>
      <c r="CJH27"/>
      <c r="CJI27"/>
      <c r="CJJ27"/>
      <c r="CJK27"/>
      <c r="CJL27"/>
      <c r="CJM27"/>
      <c r="CJN27"/>
      <c r="CJO27"/>
      <c r="CJP27"/>
      <c r="CJQ27"/>
      <c r="CJR27"/>
      <c r="CJS27"/>
      <c r="CJT27"/>
      <c r="CJU27"/>
      <c r="CJV27"/>
      <c r="CJW27"/>
      <c r="CJX27"/>
      <c r="CJY27"/>
      <c r="CJZ27"/>
      <c r="CKA27"/>
      <c r="CKB27"/>
      <c r="CKC27"/>
      <c r="CKD27"/>
      <c r="CKE27"/>
      <c r="CKF27"/>
      <c r="CKG27"/>
      <c r="CKH27"/>
      <c r="CKI27"/>
      <c r="CKJ27"/>
      <c r="CKK27"/>
      <c r="CKL27"/>
      <c r="CKM27"/>
      <c r="CKN27"/>
      <c r="CKO27"/>
      <c r="CKP27"/>
      <c r="CKQ27"/>
      <c r="CKR27"/>
      <c r="CKS27"/>
      <c r="CKT27"/>
      <c r="CKU27"/>
      <c r="CKV27"/>
      <c r="CKW27"/>
      <c r="CKX27"/>
      <c r="CKY27"/>
      <c r="CKZ27"/>
      <c r="CLA27"/>
      <c r="CLB27"/>
      <c r="CLC27"/>
      <c r="CLD27"/>
      <c r="CLE27"/>
      <c r="CLF27"/>
      <c r="CLG27"/>
      <c r="CLH27"/>
      <c r="CLI27"/>
      <c r="CLJ27"/>
      <c r="CLK27"/>
      <c r="CLL27"/>
      <c r="CLM27"/>
      <c r="CLN27"/>
      <c r="CLO27"/>
      <c r="CLP27"/>
      <c r="CLQ27"/>
      <c r="CLR27"/>
      <c r="CLS27"/>
      <c r="CLT27"/>
      <c r="CLU27"/>
      <c r="CLV27"/>
      <c r="CLW27"/>
      <c r="CLX27"/>
      <c r="CLY27"/>
      <c r="CLZ27"/>
      <c r="CMA27"/>
      <c r="CMB27"/>
      <c r="CMC27"/>
      <c r="CMD27"/>
      <c r="CME27"/>
      <c r="CMF27"/>
      <c r="CMG27"/>
      <c r="CMH27"/>
      <c r="CMI27"/>
      <c r="CMJ27"/>
      <c r="CMK27"/>
      <c r="CML27"/>
      <c r="CMM27"/>
      <c r="CMN27"/>
      <c r="CMO27"/>
      <c r="CMP27"/>
      <c r="CMQ27"/>
      <c r="CMR27"/>
      <c r="CMS27"/>
      <c r="CMT27"/>
      <c r="CMU27"/>
      <c r="CMV27"/>
      <c r="CMW27"/>
      <c r="CMX27"/>
      <c r="CMY27"/>
      <c r="CMZ27"/>
      <c r="CNA27"/>
      <c r="CNB27"/>
      <c r="CNC27"/>
      <c r="CND27"/>
      <c r="CNE27"/>
      <c r="CNF27"/>
      <c r="CNG27"/>
      <c r="CNH27"/>
      <c r="CNI27"/>
      <c r="CNJ27"/>
      <c r="CNK27"/>
      <c r="CNL27"/>
      <c r="CNM27"/>
      <c r="CNN27"/>
      <c r="CNO27"/>
      <c r="CNP27"/>
      <c r="CNQ27"/>
      <c r="CNR27"/>
      <c r="CNS27"/>
      <c r="CNT27"/>
      <c r="CNU27"/>
      <c r="CNV27"/>
      <c r="CNW27"/>
      <c r="CNX27"/>
      <c r="CNY27"/>
      <c r="CNZ27"/>
      <c r="COA27"/>
      <c r="COB27"/>
      <c r="COC27"/>
      <c r="COD27"/>
      <c r="COE27"/>
      <c r="COF27"/>
      <c r="COG27"/>
      <c r="COH27"/>
      <c r="COI27"/>
      <c r="COJ27"/>
      <c r="COK27"/>
      <c r="COL27"/>
      <c r="COM27"/>
      <c r="CON27"/>
      <c r="COO27"/>
      <c r="COP27"/>
      <c r="COQ27"/>
      <c r="COR27"/>
      <c r="COS27"/>
      <c r="COT27"/>
      <c r="COU27"/>
      <c r="COV27"/>
      <c r="COW27"/>
      <c r="COX27"/>
      <c r="COY27"/>
      <c r="COZ27"/>
      <c r="CPA27"/>
      <c r="CPB27"/>
      <c r="CPC27"/>
      <c r="CPD27"/>
      <c r="CPE27"/>
      <c r="CPF27"/>
      <c r="CPG27"/>
      <c r="CPH27"/>
      <c r="CPI27"/>
      <c r="CPJ27"/>
      <c r="CPK27"/>
      <c r="CPL27"/>
      <c r="CPM27"/>
      <c r="CPN27"/>
      <c r="CPO27"/>
      <c r="CPP27"/>
      <c r="CPQ27"/>
      <c r="CPR27"/>
      <c r="CPS27"/>
      <c r="CPT27"/>
      <c r="CPU27"/>
      <c r="CPV27"/>
      <c r="CPW27"/>
      <c r="CPX27"/>
      <c r="CPY27"/>
      <c r="CPZ27"/>
      <c r="CQA27"/>
      <c r="CQB27"/>
      <c r="CQC27"/>
      <c r="CQD27"/>
      <c r="CQE27"/>
      <c r="CQF27"/>
      <c r="CQG27"/>
      <c r="CQH27"/>
      <c r="CQI27"/>
      <c r="CQJ27"/>
      <c r="CQK27"/>
      <c r="CQL27"/>
      <c r="CQM27"/>
      <c r="CQN27"/>
      <c r="CQO27"/>
      <c r="CQP27"/>
      <c r="CQQ27"/>
      <c r="CQR27"/>
      <c r="CQS27"/>
      <c r="CQT27"/>
      <c r="CQU27"/>
      <c r="CQV27"/>
      <c r="CQW27"/>
      <c r="CQX27"/>
      <c r="CQY27"/>
      <c r="CQZ27"/>
      <c r="CRA27"/>
      <c r="CRB27"/>
      <c r="CRC27"/>
      <c r="CRD27"/>
      <c r="CRE27"/>
      <c r="CRF27"/>
      <c r="CRG27"/>
      <c r="CRH27"/>
      <c r="CRI27"/>
      <c r="CRJ27"/>
      <c r="CRK27"/>
      <c r="CRL27"/>
      <c r="CRM27"/>
      <c r="CRN27"/>
      <c r="CRO27"/>
      <c r="CRP27"/>
      <c r="CRQ27"/>
      <c r="CRR27"/>
      <c r="CRS27"/>
      <c r="CRT27"/>
      <c r="CRU27"/>
      <c r="CRV27"/>
      <c r="CRW27"/>
      <c r="CRX27"/>
      <c r="CRY27"/>
      <c r="CRZ27"/>
      <c r="CSA27"/>
      <c r="CSB27"/>
      <c r="CSC27"/>
      <c r="CSD27"/>
      <c r="CSE27"/>
      <c r="CSF27"/>
      <c r="CSG27"/>
      <c r="CSH27"/>
      <c r="CSI27"/>
      <c r="CSJ27"/>
      <c r="CSK27"/>
      <c r="CSL27"/>
      <c r="CSM27"/>
      <c r="CSN27"/>
      <c r="CSO27"/>
      <c r="CSP27"/>
      <c r="CSQ27"/>
      <c r="CSR27"/>
      <c r="CSS27"/>
      <c r="CST27"/>
      <c r="CSU27"/>
      <c r="CSV27"/>
      <c r="CSW27"/>
      <c r="CSX27"/>
      <c r="CSY27"/>
      <c r="CSZ27"/>
      <c r="CTA27"/>
      <c r="CTB27"/>
      <c r="CTC27"/>
      <c r="CTD27"/>
      <c r="CTE27"/>
      <c r="CTF27"/>
      <c r="CTG27"/>
      <c r="CTH27"/>
      <c r="CTI27"/>
      <c r="CTJ27"/>
      <c r="CTK27"/>
      <c r="CTL27"/>
      <c r="CTM27"/>
      <c r="CTN27"/>
      <c r="CTO27"/>
      <c r="CTP27"/>
      <c r="CTQ27"/>
      <c r="CTR27"/>
      <c r="CTS27"/>
      <c r="CTT27"/>
      <c r="CTU27"/>
      <c r="CTV27"/>
      <c r="CTW27"/>
      <c r="CTX27"/>
      <c r="CTY27"/>
      <c r="CTZ27"/>
      <c r="CUA27"/>
      <c r="CUB27"/>
      <c r="CUC27"/>
      <c r="CUD27"/>
      <c r="CUE27"/>
      <c r="CUF27"/>
      <c r="CUG27"/>
      <c r="CUH27"/>
      <c r="CUI27"/>
      <c r="CUJ27"/>
      <c r="CUK27"/>
      <c r="CUL27"/>
      <c r="CUM27"/>
      <c r="CUN27"/>
      <c r="CUO27"/>
      <c r="CUP27"/>
      <c r="CUQ27"/>
      <c r="CUR27"/>
      <c r="CUS27"/>
      <c r="CUT27"/>
      <c r="CUU27"/>
      <c r="CUV27"/>
      <c r="CUW27"/>
      <c r="CUX27"/>
      <c r="CUY27"/>
      <c r="CUZ27"/>
      <c r="CVA27"/>
      <c r="CVB27"/>
      <c r="CVC27"/>
      <c r="CVD27"/>
      <c r="CVE27"/>
      <c r="CVF27"/>
      <c r="CVG27"/>
      <c r="CVH27"/>
      <c r="CVI27"/>
      <c r="CVJ27"/>
      <c r="CVK27"/>
      <c r="CVL27"/>
      <c r="CVM27"/>
      <c r="CVN27"/>
      <c r="CVO27"/>
      <c r="CVP27"/>
      <c r="CVQ27"/>
      <c r="CVR27"/>
      <c r="CVS27"/>
      <c r="CVT27"/>
      <c r="CVU27"/>
      <c r="CVV27"/>
      <c r="CVW27"/>
      <c r="CVX27"/>
      <c r="CVY27"/>
      <c r="CVZ27"/>
      <c r="CWA27"/>
      <c r="CWB27"/>
      <c r="CWC27"/>
      <c r="CWD27"/>
      <c r="CWE27"/>
      <c r="CWF27"/>
      <c r="CWG27"/>
      <c r="CWH27"/>
      <c r="CWI27"/>
      <c r="CWJ27"/>
      <c r="CWK27"/>
      <c r="CWL27"/>
      <c r="CWM27"/>
      <c r="CWN27"/>
      <c r="CWO27"/>
      <c r="CWP27"/>
      <c r="CWQ27"/>
      <c r="CWR27"/>
      <c r="CWS27"/>
      <c r="CWT27"/>
      <c r="CWU27"/>
      <c r="CWV27"/>
      <c r="CWW27"/>
      <c r="CWX27"/>
      <c r="CWY27"/>
      <c r="CWZ27"/>
      <c r="CXA27"/>
      <c r="CXB27"/>
      <c r="CXC27"/>
      <c r="CXD27"/>
      <c r="CXE27"/>
      <c r="CXF27"/>
      <c r="CXG27"/>
      <c r="CXH27"/>
      <c r="CXI27"/>
      <c r="CXJ27"/>
      <c r="CXK27"/>
      <c r="CXL27"/>
      <c r="CXM27"/>
      <c r="CXN27"/>
      <c r="CXO27"/>
      <c r="CXP27"/>
      <c r="CXQ27"/>
      <c r="CXR27"/>
      <c r="CXS27"/>
      <c r="CXT27"/>
      <c r="CXU27"/>
      <c r="CXV27"/>
      <c r="CXW27"/>
      <c r="CXX27"/>
      <c r="CXY27"/>
      <c r="CXZ27"/>
      <c r="CYA27"/>
      <c r="CYB27"/>
      <c r="CYC27"/>
      <c r="CYD27"/>
      <c r="CYE27"/>
      <c r="CYF27"/>
      <c r="CYG27"/>
      <c r="CYH27"/>
      <c r="CYI27"/>
      <c r="CYJ27"/>
      <c r="CYK27"/>
      <c r="CYL27"/>
      <c r="CYM27"/>
      <c r="CYN27"/>
      <c r="CYO27"/>
      <c r="CYP27"/>
      <c r="CYQ27"/>
      <c r="CYR27"/>
      <c r="CYS27"/>
      <c r="CYT27"/>
      <c r="CYU27"/>
      <c r="CYV27"/>
      <c r="CYW27"/>
      <c r="CYX27"/>
      <c r="CYY27"/>
      <c r="CYZ27"/>
      <c r="CZA27"/>
      <c r="CZB27"/>
      <c r="CZC27"/>
      <c r="CZD27"/>
      <c r="CZE27"/>
      <c r="CZF27"/>
      <c r="CZG27"/>
      <c r="CZH27"/>
      <c r="CZI27"/>
      <c r="CZJ27"/>
      <c r="CZK27"/>
      <c r="CZL27"/>
      <c r="CZM27"/>
      <c r="CZN27"/>
      <c r="CZO27"/>
      <c r="CZP27"/>
      <c r="CZQ27"/>
      <c r="CZR27"/>
      <c r="CZS27"/>
      <c r="CZT27"/>
      <c r="CZU27"/>
      <c r="CZV27"/>
      <c r="CZW27"/>
      <c r="CZX27"/>
      <c r="CZY27"/>
      <c r="CZZ27"/>
      <c r="DAA27"/>
      <c r="DAB27"/>
      <c r="DAC27"/>
      <c r="DAD27"/>
      <c r="DAE27"/>
      <c r="DAF27"/>
      <c r="DAG27"/>
      <c r="DAH27"/>
      <c r="DAI27"/>
      <c r="DAJ27"/>
      <c r="DAK27"/>
      <c r="DAL27"/>
      <c r="DAM27"/>
      <c r="DAN27"/>
      <c r="DAO27"/>
      <c r="DAP27"/>
      <c r="DAQ27"/>
      <c r="DAR27"/>
      <c r="DAS27"/>
      <c r="DAT27"/>
      <c r="DAU27"/>
      <c r="DAV27"/>
      <c r="DAW27"/>
      <c r="DAX27"/>
      <c r="DAY27"/>
      <c r="DAZ27"/>
      <c r="DBA27"/>
      <c r="DBB27"/>
      <c r="DBC27"/>
      <c r="DBD27"/>
      <c r="DBE27"/>
      <c r="DBF27"/>
      <c r="DBG27"/>
      <c r="DBH27"/>
      <c r="DBI27"/>
      <c r="DBJ27"/>
      <c r="DBK27"/>
      <c r="DBL27"/>
      <c r="DBM27"/>
      <c r="DBN27"/>
      <c r="DBO27"/>
      <c r="DBP27"/>
      <c r="DBQ27"/>
      <c r="DBR27"/>
      <c r="DBS27"/>
      <c r="DBT27"/>
      <c r="DBU27"/>
      <c r="DBV27"/>
      <c r="DBW27"/>
      <c r="DBX27"/>
      <c r="DBY27"/>
      <c r="DBZ27"/>
      <c r="DCA27"/>
      <c r="DCB27"/>
      <c r="DCC27"/>
      <c r="DCD27"/>
      <c r="DCE27"/>
      <c r="DCF27"/>
      <c r="DCG27"/>
      <c r="DCH27"/>
      <c r="DCI27"/>
      <c r="DCJ27"/>
      <c r="DCK27"/>
      <c r="DCL27"/>
      <c r="DCM27"/>
      <c r="DCN27"/>
      <c r="DCO27"/>
      <c r="DCP27"/>
      <c r="DCQ27"/>
      <c r="DCR27"/>
      <c r="DCS27"/>
      <c r="DCT27"/>
      <c r="DCU27"/>
      <c r="DCV27"/>
      <c r="DCW27"/>
      <c r="DCX27"/>
      <c r="DCY27"/>
      <c r="DCZ27"/>
      <c r="DDA27"/>
      <c r="DDB27"/>
      <c r="DDC27"/>
      <c r="DDD27"/>
      <c r="DDE27"/>
      <c r="DDF27"/>
      <c r="DDG27"/>
      <c r="DDH27"/>
      <c r="DDI27"/>
      <c r="DDJ27"/>
      <c r="DDK27"/>
      <c r="DDL27"/>
      <c r="DDM27"/>
      <c r="DDN27"/>
      <c r="DDO27"/>
      <c r="DDP27"/>
      <c r="DDQ27"/>
      <c r="DDR27"/>
      <c r="DDS27"/>
      <c r="DDT27"/>
      <c r="DDU27"/>
      <c r="DDV27"/>
      <c r="DDW27"/>
      <c r="DDX27"/>
      <c r="DDY27"/>
      <c r="DDZ27"/>
      <c r="DEA27"/>
      <c r="DEB27"/>
      <c r="DEC27"/>
      <c r="DED27"/>
      <c r="DEE27"/>
      <c r="DEF27"/>
      <c r="DEG27"/>
      <c r="DEH27"/>
      <c r="DEI27"/>
      <c r="DEJ27"/>
      <c r="DEK27"/>
      <c r="DEL27"/>
      <c r="DEM27"/>
      <c r="DEN27"/>
      <c r="DEO27"/>
      <c r="DEP27"/>
      <c r="DEQ27"/>
      <c r="DER27"/>
      <c r="DES27"/>
      <c r="DET27"/>
      <c r="DEU27"/>
      <c r="DEV27"/>
      <c r="DEW27"/>
      <c r="DEX27"/>
      <c r="DEY27"/>
      <c r="DEZ27"/>
      <c r="DFA27"/>
      <c r="DFB27"/>
      <c r="DFC27"/>
      <c r="DFD27"/>
      <c r="DFE27"/>
      <c r="DFF27"/>
      <c r="DFG27"/>
      <c r="DFH27"/>
      <c r="DFI27"/>
      <c r="DFJ27"/>
      <c r="DFK27"/>
      <c r="DFL27"/>
      <c r="DFM27"/>
      <c r="DFN27"/>
      <c r="DFO27"/>
      <c r="DFP27"/>
      <c r="DFQ27"/>
      <c r="DFR27"/>
      <c r="DFS27"/>
      <c r="DFT27"/>
      <c r="DFU27"/>
      <c r="DFV27"/>
      <c r="DFW27"/>
      <c r="DFX27"/>
      <c r="DFY27"/>
      <c r="DFZ27"/>
      <c r="DGA27"/>
      <c r="DGB27"/>
      <c r="DGC27"/>
      <c r="DGD27"/>
      <c r="DGE27"/>
      <c r="DGF27"/>
      <c r="DGG27"/>
      <c r="DGH27"/>
      <c r="DGI27"/>
      <c r="DGJ27"/>
      <c r="DGK27"/>
      <c r="DGL27"/>
      <c r="DGM27"/>
      <c r="DGN27"/>
      <c r="DGO27"/>
      <c r="DGP27"/>
      <c r="DGQ27"/>
      <c r="DGR27"/>
      <c r="DGS27"/>
      <c r="DGT27"/>
      <c r="DGU27"/>
      <c r="DGV27"/>
      <c r="DGW27"/>
      <c r="DGX27"/>
      <c r="DGY27"/>
      <c r="DGZ27"/>
      <c r="DHA27"/>
      <c r="DHB27"/>
      <c r="DHC27"/>
      <c r="DHD27"/>
      <c r="DHE27"/>
      <c r="DHF27"/>
      <c r="DHG27"/>
      <c r="DHH27"/>
      <c r="DHI27"/>
      <c r="DHJ27"/>
      <c r="DHK27"/>
      <c r="DHL27"/>
      <c r="DHM27"/>
      <c r="DHN27"/>
      <c r="DHO27"/>
      <c r="DHP27"/>
      <c r="DHQ27"/>
      <c r="DHR27"/>
      <c r="DHS27"/>
      <c r="DHT27"/>
      <c r="DHU27"/>
      <c r="DHV27"/>
      <c r="DHW27"/>
      <c r="DHX27"/>
      <c r="DHY27"/>
      <c r="DHZ27"/>
      <c r="DIA27"/>
      <c r="DIB27"/>
      <c r="DIC27"/>
      <c r="DID27"/>
      <c r="DIE27"/>
      <c r="DIF27"/>
      <c r="DIG27"/>
      <c r="DIH27"/>
      <c r="DII27"/>
      <c r="DIJ27"/>
      <c r="DIK27"/>
      <c r="DIL27"/>
      <c r="DIM27"/>
      <c r="DIN27"/>
      <c r="DIO27"/>
      <c r="DIP27"/>
      <c r="DIQ27"/>
      <c r="DIR27"/>
      <c r="DIS27"/>
      <c r="DIT27"/>
      <c r="DIU27"/>
      <c r="DIV27"/>
      <c r="DIW27"/>
      <c r="DIX27"/>
      <c r="DIY27"/>
      <c r="DIZ27"/>
      <c r="DJA27"/>
      <c r="DJB27"/>
      <c r="DJC27"/>
      <c r="DJD27"/>
      <c r="DJE27"/>
      <c r="DJF27"/>
      <c r="DJG27"/>
      <c r="DJH27"/>
      <c r="DJI27"/>
      <c r="DJJ27"/>
      <c r="DJK27"/>
      <c r="DJL27"/>
      <c r="DJM27"/>
      <c r="DJN27"/>
      <c r="DJO27"/>
      <c r="DJP27"/>
      <c r="DJQ27"/>
      <c r="DJR27"/>
      <c r="DJS27"/>
      <c r="DJT27"/>
      <c r="DJU27"/>
      <c r="DJV27"/>
      <c r="DJW27"/>
      <c r="DJX27"/>
      <c r="DJY27"/>
      <c r="DJZ27"/>
      <c r="DKA27"/>
      <c r="DKB27"/>
      <c r="DKC27"/>
      <c r="DKD27"/>
      <c r="DKE27"/>
      <c r="DKF27"/>
      <c r="DKG27"/>
      <c r="DKH27"/>
      <c r="DKI27"/>
      <c r="DKJ27"/>
      <c r="DKK27"/>
      <c r="DKL27"/>
      <c r="DKM27"/>
      <c r="DKN27"/>
      <c r="DKO27"/>
      <c r="DKP27"/>
      <c r="DKQ27"/>
      <c r="DKR27"/>
      <c r="DKS27"/>
      <c r="DKT27"/>
      <c r="DKU27"/>
      <c r="DKV27"/>
      <c r="DKW27"/>
      <c r="DKX27"/>
      <c r="DKY27"/>
      <c r="DKZ27"/>
      <c r="DLA27"/>
      <c r="DLB27"/>
      <c r="DLC27"/>
      <c r="DLD27"/>
      <c r="DLE27"/>
      <c r="DLF27"/>
      <c r="DLG27"/>
      <c r="DLH27"/>
      <c r="DLI27"/>
      <c r="DLJ27"/>
      <c r="DLK27"/>
      <c r="DLL27"/>
      <c r="DLM27"/>
      <c r="DLN27"/>
      <c r="DLO27"/>
      <c r="DLP27"/>
      <c r="DLQ27"/>
      <c r="DLR27"/>
      <c r="DLS27"/>
      <c r="DLT27"/>
      <c r="DLU27"/>
      <c r="DLV27"/>
      <c r="DLW27"/>
      <c r="DLX27"/>
      <c r="DLY27"/>
      <c r="DLZ27"/>
      <c r="DMA27"/>
      <c r="DMB27"/>
      <c r="DMC27"/>
      <c r="DMD27"/>
      <c r="DME27"/>
      <c r="DMF27"/>
      <c r="DMG27"/>
      <c r="DMH27"/>
      <c r="DMI27"/>
      <c r="DMJ27"/>
      <c r="DMK27"/>
      <c r="DML27"/>
      <c r="DMM27"/>
      <c r="DMN27"/>
      <c r="DMO27"/>
      <c r="DMP27"/>
      <c r="DMQ27"/>
      <c r="DMR27"/>
      <c r="DMS27"/>
      <c r="DMT27"/>
      <c r="DMU27"/>
      <c r="DMV27"/>
      <c r="DMW27"/>
      <c r="DMX27"/>
      <c r="DMY27"/>
      <c r="DMZ27"/>
      <c r="DNA27"/>
      <c r="DNB27"/>
      <c r="DNC27"/>
      <c r="DND27"/>
      <c r="DNE27"/>
      <c r="DNF27"/>
      <c r="DNG27"/>
      <c r="DNH27"/>
      <c r="DNI27"/>
      <c r="DNJ27"/>
      <c r="DNK27"/>
      <c r="DNL27"/>
      <c r="DNM27"/>
      <c r="DNN27"/>
      <c r="DNO27"/>
      <c r="DNP27"/>
      <c r="DNQ27"/>
      <c r="DNR27"/>
      <c r="DNS27"/>
      <c r="DNT27"/>
      <c r="DNU27"/>
      <c r="DNV27"/>
      <c r="DNW27"/>
      <c r="DNX27"/>
      <c r="DNY27"/>
      <c r="DNZ27"/>
      <c r="DOA27"/>
      <c r="DOB27"/>
      <c r="DOC27"/>
      <c r="DOD27"/>
      <c r="DOE27"/>
      <c r="DOF27"/>
      <c r="DOG27"/>
      <c r="DOH27"/>
      <c r="DOI27"/>
      <c r="DOJ27"/>
      <c r="DOK27"/>
      <c r="DOL27"/>
      <c r="DOM27"/>
      <c r="DON27"/>
      <c r="DOO27"/>
      <c r="DOP27"/>
      <c r="DOQ27"/>
      <c r="DOR27"/>
      <c r="DOS27"/>
      <c r="DOT27"/>
      <c r="DOU27"/>
      <c r="DOV27"/>
      <c r="DOW27"/>
      <c r="DOX27"/>
      <c r="DOY27"/>
      <c r="DOZ27"/>
      <c r="DPA27"/>
      <c r="DPB27"/>
      <c r="DPC27"/>
      <c r="DPD27"/>
      <c r="DPE27"/>
      <c r="DPF27"/>
      <c r="DPG27"/>
      <c r="DPH27"/>
      <c r="DPI27"/>
      <c r="DPJ27"/>
      <c r="DPK27"/>
      <c r="DPL27"/>
      <c r="DPM27"/>
      <c r="DPN27"/>
      <c r="DPO27"/>
      <c r="DPP27"/>
      <c r="DPQ27"/>
      <c r="DPR27"/>
      <c r="DPS27"/>
      <c r="DPT27"/>
      <c r="DPU27"/>
      <c r="DPV27"/>
      <c r="DPW27"/>
      <c r="DPX27"/>
      <c r="DPY27"/>
      <c r="DPZ27"/>
      <c r="DQA27"/>
      <c r="DQB27"/>
      <c r="DQC27"/>
      <c r="DQD27"/>
      <c r="DQE27"/>
      <c r="DQF27"/>
      <c r="DQG27"/>
      <c r="DQH27"/>
      <c r="DQI27"/>
      <c r="DQJ27"/>
      <c r="DQK27"/>
      <c r="DQL27"/>
      <c r="DQM27"/>
      <c r="DQN27"/>
      <c r="DQO27"/>
      <c r="DQP27"/>
      <c r="DQQ27"/>
      <c r="DQR27"/>
      <c r="DQS27"/>
      <c r="DQT27"/>
      <c r="DQU27"/>
      <c r="DQV27"/>
      <c r="DQW27"/>
      <c r="DQX27"/>
      <c r="DQY27"/>
      <c r="DQZ27"/>
      <c r="DRA27"/>
      <c r="DRB27"/>
      <c r="DRC27"/>
      <c r="DRD27"/>
      <c r="DRE27"/>
      <c r="DRF27"/>
      <c r="DRG27"/>
      <c r="DRH27"/>
      <c r="DRI27"/>
      <c r="DRJ27"/>
      <c r="DRK27"/>
      <c r="DRL27"/>
      <c r="DRM27"/>
      <c r="DRN27"/>
      <c r="DRO27"/>
      <c r="DRP27"/>
      <c r="DRQ27"/>
      <c r="DRR27"/>
      <c r="DRS27"/>
      <c r="DRT27"/>
      <c r="DRU27"/>
      <c r="DRV27"/>
      <c r="DRW27"/>
      <c r="DRX27"/>
      <c r="DRY27"/>
      <c r="DRZ27"/>
      <c r="DSA27"/>
      <c r="DSB27"/>
      <c r="DSC27"/>
      <c r="DSD27"/>
      <c r="DSE27"/>
      <c r="DSF27"/>
      <c r="DSG27"/>
      <c r="DSH27"/>
      <c r="DSI27"/>
      <c r="DSJ27"/>
      <c r="DSK27"/>
      <c r="DSL27"/>
      <c r="DSM27"/>
      <c r="DSN27"/>
      <c r="DSO27"/>
      <c r="DSP27"/>
      <c r="DSQ27"/>
      <c r="DSR27"/>
      <c r="DSS27"/>
      <c r="DST27"/>
      <c r="DSU27"/>
      <c r="DSV27"/>
      <c r="DSW27"/>
      <c r="DSX27"/>
      <c r="DSY27"/>
      <c r="DSZ27"/>
      <c r="DTA27"/>
      <c r="DTB27"/>
      <c r="DTC27"/>
      <c r="DTD27"/>
      <c r="DTE27"/>
      <c r="DTF27"/>
      <c r="DTG27"/>
      <c r="DTH27"/>
      <c r="DTI27"/>
      <c r="DTJ27"/>
      <c r="DTK27"/>
      <c r="DTL27"/>
      <c r="DTM27"/>
      <c r="DTN27"/>
      <c r="DTO27"/>
      <c r="DTP27"/>
      <c r="DTQ27"/>
      <c r="DTR27"/>
      <c r="DTS27"/>
      <c r="DTT27"/>
      <c r="DTU27"/>
      <c r="DTV27"/>
      <c r="DTW27"/>
      <c r="DTX27"/>
      <c r="DTY27"/>
      <c r="DTZ27"/>
      <c r="DUA27"/>
      <c r="DUB27"/>
      <c r="DUC27"/>
      <c r="DUD27"/>
      <c r="DUE27"/>
      <c r="DUF27"/>
      <c r="DUG27"/>
      <c r="DUH27"/>
      <c r="DUI27"/>
      <c r="DUJ27"/>
      <c r="DUK27"/>
      <c r="DUL27"/>
      <c r="DUM27"/>
      <c r="DUN27"/>
      <c r="DUO27"/>
      <c r="DUP27"/>
      <c r="DUQ27"/>
      <c r="DUR27"/>
      <c r="DUS27"/>
      <c r="DUT27"/>
      <c r="DUU27"/>
      <c r="DUV27"/>
      <c r="DUW27"/>
      <c r="DUX27"/>
      <c r="DUY27"/>
      <c r="DUZ27"/>
      <c r="DVA27"/>
      <c r="DVB27"/>
      <c r="DVC27"/>
      <c r="DVD27"/>
      <c r="DVE27"/>
      <c r="DVF27"/>
      <c r="DVG27"/>
      <c r="DVH27"/>
      <c r="DVI27"/>
      <c r="DVJ27"/>
      <c r="DVK27"/>
      <c r="DVL27"/>
      <c r="DVM27"/>
      <c r="DVN27"/>
      <c r="DVO27"/>
      <c r="DVP27"/>
      <c r="DVQ27"/>
      <c r="DVR27"/>
      <c r="DVS27"/>
      <c r="DVT27"/>
      <c r="DVU27"/>
      <c r="DVV27"/>
      <c r="DVW27"/>
      <c r="DVX27"/>
      <c r="DVY27"/>
      <c r="DVZ27"/>
      <c r="DWA27"/>
      <c r="DWB27"/>
      <c r="DWC27"/>
      <c r="DWD27"/>
      <c r="DWE27"/>
      <c r="DWF27"/>
      <c r="DWG27"/>
      <c r="DWH27"/>
      <c r="DWI27"/>
      <c r="DWJ27"/>
      <c r="DWK27"/>
      <c r="DWL27"/>
      <c r="DWM27"/>
      <c r="DWN27"/>
      <c r="DWO27"/>
      <c r="DWP27"/>
      <c r="DWQ27"/>
      <c r="DWR27"/>
      <c r="DWS27"/>
      <c r="DWT27"/>
      <c r="DWU27"/>
      <c r="DWV27"/>
      <c r="DWW27"/>
      <c r="DWX27"/>
      <c r="DWY27"/>
      <c r="DWZ27"/>
      <c r="DXA27"/>
      <c r="DXB27"/>
      <c r="DXC27"/>
      <c r="DXD27"/>
      <c r="DXE27"/>
      <c r="DXF27"/>
      <c r="DXG27"/>
      <c r="DXH27"/>
      <c r="DXI27"/>
      <c r="DXJ27"/>
      <c r="DXK27"/>
      <c r="DXL27"/>
      <c r="DXM27"/>
      <c r="DXN27"/>
      <c r="DXO27"/>
      <c r="DXP27"/>
      <c r="DXQ27"/>
      <c r="DXR27"/>
      <c r="DXS27"/>
      <c r="DXT27"/>
      <c r="DXU27"/>
      <c r="DXV27"/>
      <c r="DXW27"/>
      <c r="DXX27"/>
      <c r="DXY27"/>
      <c r="DXZ27"/>
      <c r="DYA27"/>
      <c r="DYB27"/>
      <c r="DYC27"/>
      <c r="DYD27"/>
      <c r="DYE27"/>
      <c r="DYF27"/>
      <c r="DYG27"/>
      <c r="DYH27"/>
      <c r="DYI27"/>
      <c r="DYJ27"/>
      <c r="DYK27"/>
      <c r="DYL27"/>
      <c r="DYM27"/>
      <c r="DYN27"/>
      <c r="DYO27"/>
      <c r="DYP27"/>
      <c r="DYQ27"/>
      <c r="DYR27"/>
      <c r="DYS27"/>
      <c r="DYT27"/>
      <c r="DYU27"/>
      <c r="DYV27"/>
      <c r="DYW27"/>
      <c r="DYX27"/>
      <c r="DYY27"/>
      <c r="DYZ27"/>
      <c r="DZA27"/>
      <c r="DZB27"/>
      <c r="DZC27"/>
      <c r="DZD27"/>
      <c r="DZE27"/>
      <c r="DZF27"/>
      <c r="DZG27"/>
      <c r="DZH27"/>
      <c r="DZI27"/>
      <c r="DZJ27"/>
      <c r="DZK27"/>
      <c r="DZL27"/>
      <c r="DZM27"/>
      <c r="DZN27"/>
      <c r="DZO27"/>
      <c r="DZP27"/>
      <c r="DZQ27"/>
      <c r="DZR27"/>
      <c r="DZS27"/>
      <c r="DZT27"/>
      <c r="DZU27"/>
      <c r="DZV27"/>
      <c r="DZW27"/>
      <c r="DZX27"/>
      <c r="DZY27"/>
      <c r="DZZ27"/>
      <c r="EAA27"/>
      <c r="EAB27"/>
      <c r="EAC27"/>
      <c r="EAD27"/>
      <c r="EAE27"/>
      <c r="EAF27"/>
      <c r="EAG27"/>
      <c r="EAH27"/>
      <c r="EAI27"/>
      <c r="EAJ27"/>
      <c r="EAK27"/>
      <c r="EAL27"/>
      <c r="EAM27"/>
      <c r="EAN27"/>
      <c r="EAO27"/>
      <c r="EAP27"/>
      <c r="EAQ27"/>
      <c r="EAR27"/>
      <c r="EAS27"/>
      <c r="EAT27"/>
      <c r="EAU27"/>
      <c r="EAV27"/>
      <c r="EAW27"/>
      <c r="EAX27"/>
      <c r="EAY27"/>
      <c r="EAZ27"/>
      <c r="EBA27"/>
      <c r="EBB27"/>
      <c r="EBC27"/>
      <c r="EBD27"/>
      <c r="EBE27"/>
      <c r="EBF27"/>
      <c r="EBG27"/>
      <c r="EBH27"/>
      <c r="EBI27"/>
      <c r="EBJ27"/>
      <c r="EBK27"/>
      <c r="EBL27"/>
      <c r="EBM27"/>
      <c r="EBN27"/>
      <c r="EBO27"/>
      <c r="EBP27"/>
      <c r="EBQ27"/>
      <c r="EBR27"/>
      <c r="EBS27"/>
      <c r="EBT27"/>
      <c r="EBU27"/>
      <c r="EBV27"/>
      <c r="EBW27"/>
      <c r="EBX27"/>
      <c r="EBY27"/>
      <c r="EBZ27"/>
      <c r="ECA27"/>
      <c r="ECB27"/>
      <c r="ECC27"/>
      <c r="ECD27"/>
      <c r="ECE27"/>
      <c r="ECF27"/>
      <c r="ECG27"/>
      <c r="ECH27"/>
      <c r="ECI27"/>
      <c r="ECJ27"/>
      <c r="ECK27"/>
      <c r="ECL27"/>
      <c r="ECM27"/>
      <c r="ECN27"/>
      <c r="ECO27"/>
      <c r="ECP27"/>
      <c r="ECQ27"/>
      <c r="ECR27"/>
      <c r="ECS27"/>
      <c r="ECT27"/>
      <c r="ECU27"/>
      <c r="ECV27"/>
      <c r="ECW27"/>
      <c r="ECX27"/>
      <c r="ECY27"/>
      <c r="ECZ27"/>
      <c r="EDA27"/>
      <c r="EDB27"/>
      <c r="EDC27"/>
      <c r="EDD27"/>
      <c r="EDE27"/>
      <c r="EDF27"/>
      <c r="EDG27"/>
      <c r="EDH27"/>
      <c r="EDI27"/>
      <c r="EDJ27"/>
      <c r="EDK27"/>
      <c r="EDL27"/>
      <c r="EDM27"/>
      <c r="EDN27"/>
      <c r="EDO27"/>
      <c r="EDP27"/>
      <c r="EDQ27"/>
      <c r="EDR27"/>
      <c r="EDS27"/>
      <c r="EDT27"/>
      <c r="EDU27"/>
      <c r="EDV27"/>
      <c r="EDW27"/>
      <c r="EDX27"/>
      <c r="EDY27"/>
      <c r="EDZ27"/>
      <c r="EEA27"/>
      <c r="EEB27"/>
      <c r="EEC27"/>
      <c r="EED27"/>
      <c r="EEE27"/>
      <c r="EEF27"/>
      <c r="EEG27"/>
      <c r="EEH27"/>
      <c r="EEI27"/>
      <c r="EEJ27"/>
      <c r="EEK27"/>
      <c r="EEL27"/>
      <c r="EEM27"/>
      <c r="EEN27"/>
      <c r="EEO27"/>
      <c r="EEP27"/>
      <c r="EEQ27"/>
      <c r="EER27"/>
      <c r="EES27"/>
      <c r="EET27"/>
      <c r="EEU27"/>
      <c r="EEV27"/>
      <c r="EEW27"/>
      <c r="EEX27"/>
      <c r="EEY27"/>
      <c r="EEZ27"/>
      <c r="EFA27"/>
      <c r="EFB27"/>
      <c r="EFC27"/>
      <c r="EFD27"/>
      <c r="EFE27"/>
      <c r="EFF27"/>
      <c r="EFG27"/>
      <c r="EFH27"/>
      <c r="EFI27"/>
      <c r="EFJ27"/>
      <c r="EFK27"/>
      <c r="EFL27"/>
      <c r="EFM27"/>
      <c r="EFN27"/>
      <c r="EFO27"/>
      <c r="EFP27"/>
      <c r="EFQ27"/>
      <c r="EFR27"/>
      <c r="EFS27"/>
      <c r="EFT27"/>
      <c r="EFU27"/>
      <c r="EFV27"/>
      <c r="EFW27"/>
      <c r="EFX27"/>
      <c r="EFY27"/>
      <c r="EFZ27"/>
      <c r="EGA27"/>
      <c r="EGB27"/>
      <c r="EGC27"/>
      <c r="EGD27"/>
      <c r="EGE27"/>
      <c r="EGF27"/>
      <c r="EGG27"/>
      <c r="EGH27"/>
      <c r="EGI27"/>
      <c r="EGJ27"/>
      <c r="EGK27"/>
      <c r="EGL27"/>
      <c r="EGM27"/>
      <c r="EGN27"/>
      <c r="EGO27"/>
      <c r="EGP27"/>
      <c r="EGQ27"/>
      <c r="EGR27"/>
      <c r="EGS27"/>
      <c r="EGT27"/>
      <c r="EGU27"/>
      <c r="EGV27"/>
      <c r="EGW27"/>
      <c r="EGX27"/>
      <c r="EGY27"/>
      <c r="EGZ27"/>
      <c r="EHA27"/>
      <c r="EHB27"/>
      <c r="EHC27"/>
      <c r="EHD27"/>
      <c r="EHE27"/>
      <c r="EHF27"/>
      <c r="EHG27"/>
      <c r="EHH27"/>
      <c r="EHI27"/>
      <c r="EHJ27"/>
      <c r="EHK27"/>
      <c r="EHL27"/>
      <c r="EHM27"/>
      <c r="EHN27"/>
      <c r="EHO27"/>
      <c r="EHP27"/>
      <c r="EHQ27"/>
      <c r="EHR27"/>
      <c r="EHS27"/>
      <c r="EHT27"/>
      <c r="EHU27"/>
      <c r="EHV27"/>
      <c r="EHW27"/>
      <c r="EHX27"/>
      <c r="EHY27"/>
      <c r="EHZ27"/>
      <c r="EIA27"/>
      <c r="EIB27"/>
      <c r="EIC27"/>
      <c r="EID27"/>
      <c r="EIE27"/>
      <c r="EIF27"/>
      <c r="EIG27"/>
      <c r="EIH27"/>
      <c r="EII27"/>
      <c r="EIJ27"/>
      <c r="EIK27"/>
      <c r="EIL27"/>
      <c r="EIM27"/>
      <c r="EIN27"/>
      <c r="EIO27"/>
      <c r="EIP27"/>
      <c r="EIQ27"/>
      <c r="EIR27"/>
      <c r="EIS27"/>
      <c r="EIT27"/>
      <c r="EIU27"/>
      <c r="EIV27"/>
      <c r="EIW27"/>
      <c r="EIX27"/>
      <c r="EIY27"/>
      <c r="EIZ27"/>
      <c r="EJA27"/>
      <c r="EJB27"/>
      <c r="EJC27"/>
      <c r="EJD27"/>
      <c r="EJE27"/>
      <c r="EJF27"/>
      <c r="EJG27"/>
      <c r="EJH27"/>
      <c r="EJI27"/>
      <c r="EJJ27"/>
      <c r="EJK27"/>
      <c r="EJL27"/>
      <c r="EJM27"/>
      <c r="EJN27"/>
      <c r="EJO27"/>
      <c r="EJP27"/>
      <c r="EJQ27"/>
      <c r="EJR27"/>
      <c r="EJS27"/>
      <c r="EJT27"/>
      <c r="EJU27"/>
      <c r="EJV27"/>
      <c r="EJW27"/>
      <c r="EJX27"/>
      <c r="EJY27"/>
      <c r="EJZ27"/>
      <c r="EKA27"/>
      <c r="EKB27"/>
      <c r="EKC27"/>
      <c r="EKD27"/>
      <c r="EKE27"/>
      <c r="EKF27"/>
      <c r="EKG27"/>
      <c r="EKH27"/>
      <c r="EKI27"/>
      <c r="EKJ27"/>
      <c r="EKK27"/>
      <c r="EKL27"/>
      <c r="EKM27"/>
      <c r="EKN27"/>
      <c r="EKO27"/>
      <c r="EKP27"/>
      <c r="EKQ27"/>
      <c r="EKR27"/>
      <c r="EKS27"/>
      <c r="EKT27"/>
      <c r="EKU27"/>
      <c r="EKV27"/>
      <c r="EKW27"/>
      <c r="EKX27"/>
      <c r="EKY27"/>
      <c r="EKZ27"/>
      <c r="ELA27"/>
      <c r="ELB27"/>
      <c r="ELC27"/>
      <c r="ELD27"/>
      <c r="ELE27"/>
      <c r="ELF27"/>
      <c r="ELG27"/>
      <c r="ELH27"/>
      <c r="ELI27"/>
      <c r="ELJ27"/>
      <c r="ELK27"/>
      <c r="ELL27"/>
      <c r="ELM27"/>
      <c r="ELN27"/>
      <c r="ELO27"/>
      <c r="ELP27"/>
      <c r="ELQ27"/>
      <c r="ELR27"/>
      <c r="ELS27"/>
      <c r="ELT27"/>
      <c r="ELU27"/>
      <c r="ELV27"/>
      <c r="ELW27"/>
      <c r="ELX27"/>
      <c r="ELY27"/>
      <c r="ELZ27"/>
      <c r="EMA27"/>
      <c r="EMB27"/>
      <c r="EMC27"/>
      <c r="EMD27"/>
      <c r="EME27"/>
      <c r="EMF27"/>
      <c r="EMG27"/>
      <c r="EMH27"/>
      <c r="EMI27"/>
      <c r="EMJ27"/>
      <c r="EMK27"/>
      <c r="EML27"/>
      <c r="EMM27"/>
      <c r="EMN27"/>
      <c r="EMO27"/>
      <c r="EMP27"/>
      <c r="EMQ27"/>
      <c r="EMR27"/>
      <c r="EMS27"/>
      <c r="EMT27"/>
      <c r="EMU27"/>
      <c r="EMV27"/>
      <c r="EMW27"/>
      <c r="EMX27"/>
      <c r="EMY27"/>
      <c r="EMZ27"/>
      <c r="ENA27"/>
      <c r="ENB27"/>
      <c r="ENC27"/>
      <c r="END27"/>
      <c r="ENE27"/>
      <c r="ENF27"/>
      <c r="ENG27"/>
      <c r="ENH27"/>
      <c r="ENI27"/>
      <c r="ENJ27"/>
      <c r="ENK27"/>
      <c r="ENL27"/>
      <c r="ENM27"/>
      <c r="ENN27"/>
      <c r="ENO27"/>
      <c r="ENP27"/>
      <c r="ENQ27"/>
      <c r="ENR27"/>
      <c r="ENS27"/>
      <c r="ENT27"/>
      <c r="ENU27"/>
      <c r="ENV27"/>
      <c r="ENW27"/>
      <c r="ENX27"/>
      <c r="ENY27"/>
      <c r="ENZ27"/>
      <c r="EOA27"/>
      <c r="EOB27"/>
      <c r="EOC27"/>
      <c r="EOD27"/>
      <c r="EOE27"/>
      <c r="EOF27"/>
      <c r="EOG27"/>
      <c r="EOH27"/>
      <c r="EOI27"/>
      <c r="EOJ27"/>
      <c r="EOK27"/>
      <c r="EOL27"/>
      <c r="EOM27"/>
      <c r="EON27"/>
      <c r="EOO27"/>
      <c r="EOP27"/>
      <c r="EOQ27"/>
      <c r="EOR27"/>
      <c r="EOS27"/>
      <c r="EOT27"/>
      <c r="EOU27"/>
      <c r="EOV27"/>
      <c r="EOW27"/>
      <c r="EOX27"/>
      <c r="EOY27"/>
      <c r="EOZ27"/>
      <c r="EPA27"/>
      <c r="EPB27"/>
      <c r="EPC27"/>
      <c r="EPD27"/>
      <c r="EPE27"/>
      <c r="EPF27"/>
      <c r="EPG27"/>
      <c r="EPH27"/>
      <c r="EPI27"/>
      <c r="EPJ27"/>
      <c r="EPK27"/>
      <c r="EPL27"/>
      <c r="EPM27"/>
      <c r="EPN27"/>
      <c r="EPO27"/>
      <c r="EPP27"/>
      <c r="EPQ27"/>
      <c r="EPR27"/>
      <c r="EPS27"/>
      <c r="EPT27"/>
      <c r="EPU27"/>
      <c r="EPV27"/>
      <c r="EPW27"/>
      <c r="EPX27"/>
      <c r="EPY27"/>
      <c r="EPZ27"/>
      <c r="EQA27"/>
      <c r="EQB27"/>
      <c r="EQC27"/>
      <c r="EQD27"/>
      <c r="EQE27"/>
      <c r="EQF27"/>
      <c r="EQG27"/>
      <c r="EQH27"/>
      <c r="EQI27"/>
      <c r="EQJ27"/>
      <c r="EQK27"/>
      <c r="EQL27"/>
      <c r="EQM27"/>
      <c r="EQN27"/>
      <c r="EQO27"/>
      <c r="EQP27"/>
      <c r="EQQ27"/>
      <c r="EQR27"/>
      <c r="EQS27"/>
      <c r="EQT27"/>
      <c r="EQU27"/>
      <c r="EQV27"/>
      <c r="EQW27"/>
      <c r="EQX27"/>
      <c r="EQY27"/>
      <c r="EQZ27"/>
      <c r="ERA27"/>
      <c r="ERB27"/>
      <c r="ERC27"/>
      <c r="ERD27"/>
      <c r="ERE27"/>
      <c r="ERF27"/>
      <c r="ERG27"/>
      <c r="ERH27"/>
      <c r="ERI27"/>
      <c r="ERJ27"/>
      <c r="ERK27"/>
      <c r="ERL27"/>
      <c r="ERM27"/>
      <c r="ERN27"/>
      <c r="ERO27"/>
      <c r="ERP27"/>
      <c r="ERQ27"/>
      <c r="ERR27"/>
      <c r="ERS27"/>
      <c r="ERT27"/>
      <c r="ERU27"/>
      <c r="ERV27"/>
      <c r="ERW27"/>
      <c r="ERX27"/>
      <c r="ERY27"/>
      <c r="ERZ27"/>
      <c r="ESA27"/>
      <c r="ESB27"/>
      <c r="ESC27"/>
      <c r="ESD27"/>
      <c r="ESE27"/>
      <c r="ESF27"/>
      <c r="ESG27"/>
      <c r="ESH27"/>
      <c r="ESI27"/>
      <c r="ESJ27"/>
      <c r="ESK27"/>
      <c r="ESL27"/>
      <c r="ESM27"/>
      <c r="ESN27"/>
      <c r="ESO27"/>
      <c r="ESP27"/>
      <c r="ESQ27"/>
      <c r="ESR27"/>
      <c r="ESS27"/>
      <c r="EST27"/>
      <c r="ESU27"/>
      <c r="ESV27"/>
      <c r="ESW27"/>
      <c r="ESX27"/>
      <c r="ESY27"/>
      <c r="ESZ27"/>
      <c r="ETA27"/>
      <c r="ETB27"/>
      <c r="ETC27"/>
      <c r="ETD27"/>
      <c r="ETE27"/>
      <c r="ETF27"/>
      <c r="ETG27"/>
      <c r="ETH27"/>
      <c r="ETI27"/>
      <c r="ETJ27"/>
      <c r="ETK27"/>
      <c r="ETL27"/>
      <c r="ETM27"/>
      <c r="ETN27"/>
      <c r="ETO27"/>
      <c r="ETP27"/>
      <c r="ETQ27"/>
      <c r="ETR27"/>
      <c r="ETS27"/>
      <c r="ETT27"/>
      <c r="ETU27"/>
      <c r="ETV27"/>
      <c r="ETW27"/>
      <c r="ETX27"/>
      <c r="ETY27"/>
      <c r="ETZ27"/>
      <c r="EUA27"/>
      <c r="EUB27"/>
      <c r="EUC27"/>
      <c r="EUD27"/>
      <c r="EUE27"/>
      <c r="EUF27"/>
      <c r="EUG27"/>
      <c r="EUH27"/>
      <c r="EUI27"/>
      <c r="EUJ27"/>
      <c r="EUK27"/>
      <c r="EUL27"/>
      <c r="EUM27"/>
      <c r="EUN27"/>
      <c r="EUO27"/>
      <c r="EUP27"/>
      <c r="EUQ27"/>
      <c r="EUR27"/>
      <c r="EUS27"/>
      <c r="EUT27"/>
      <c r="EUU27"/>
      <c r="EUV27"/>
      <c r="EUW27"/>
      <c r="EUX27"/>
      <c r="EUY27"/>
      <c r="EUZ27"/>
      <c r="EVA27"/>
      <c r="EVB27"/>
      <c r="EVC27"/>
      <c r="EVD27"/>
      <c r="EVE27"/>
      <c r="EVF27"/>
      <c r="EVG27"/>
      <c r="EVH27"/>
      <c r="EVI27"/>
      <c r="EVJ27"/>
      <c r="EVK27"/>
      <c r="EVL27"/>
      <c r="EVM27"/>
      <c r="EVN27"/>
      <c r="EVO27"/>
      <c r="EVP27"/>
      <c r="EVQ27"/>
      <c r="EVR27"/>
      <c r="EVS27"/>
      <c r="EVT27"/>
      <c r="EVU27"/>
      <c r="EVV27"/>
      <c r="EVW27"/>
      <c r="EVX27"/>
      <c r="EVY27"/>
      <c r="EVZ27"/>
      <c r="EWA27"/>
      <c r="EWB27"/>
      <c r="EWC27"/>
      <c r="EWD27"/>
      <c r="EWE27"/>
      <c r="EWF27"/>
      <c r="EWG27"/>
      <c r="EWH27"/>
      <c r="EWI27"/>
      <c r="EWJ27"/>
      <c r="EWK27"/>
      <c r="EWL27"/>
      <c r="EWM27"/>
      <c r="EWN27"/>
      <c r="EWO27"/>
      <c r="EWP27"/>
      <c r="EWQ27"/>
      <c r="EWR27"/>
      <c r="EWS27"/>
      <c r="EWT27"/>
      <c r="EWU27"/>
      <c r="EWV27"/>
      <c r="EWW27"/>
      <c r="EWX27"/>
      <c r="EWY27"/>
      <c r="EWZ27"/>
      <c r="EXA27"/>
      <c r="EXB27"/>
      <c r="EXC27"/>
      <c r="EXD27"/>
      <c r="EXE27"/>
      <c r="EXF27"/>
      <c r="EXG27"/>
      <c r="EXH27"/>
      <c r="EXI27"/>
      <c r="EXJ27"/>
      <c r="EXK27"/>
      <c r="EXL27"/>
      <c r="EXM27"/>
      <c r="EXN27"/>
      <c r="EXO27"/>
      <c r="EXP27"/>
      <c r="EXQ27"/>
      <c r="EXR27"/>
      <c r="EXS27"/>
      <c r="EXT27"/>
      <c r="EXU27"/>
      <c r="EXV27"/>
      <c r="EXW27"/>
      <c r="EXX27"/>
      <c r="EXY27"/>
      <c r="EXZ27"/>
      <c r="EYA27"/>
      <c r="EYB27"/>
      <c r="EYC27"/>
      <c r="EYD27"/>
      <c r="EYE27"/>
      <c r="EYF27"/>
      <c r="EYG27"/>
      <c r="EYH27"/>
      <c r="EYI27"/>
      <c r="EYJ27"/>
      <c r="EYK27"/>
      <c r="EYL27"/>
      <c r="EYM27"/>
      <c r="EYN27"/>
      <c r="EYO27"/>
      <c r="EYP27"/>
      <c r="EYQ27"/>
      <c r="EYR27"/>
      <c r="EYS27"/>
      <c r="EYT27"/>
      <c r="EYU27"/>
      <c r="EYV27"/>
      <c r="EYW27"/>
      <c r="EYX27"/>
      <c r="EYY27"/>
      <c r="EYZ27"/>
      <c r="EZA27"/>
      <c r="EZB27"/>
      <c r="EZC27"/>
      <c r="EZD27"/>
      <c r="EZE27"/>
      <c r="EZF27"/>
      <c r="EZG27"/>
      <c r="EZH27"/>
      <c r="EZI27"/>
      <c r="EZJ27"/>
      <c r="EZK27"/>
      <c r="EZL27"/>
      <c r="EZM27"/>
      <c r="EZN27"/>
      <c r="EZO27"/>
      <c r="EZP27"/>
      <c r="EZQ27"/>
      <c r="EZR27"/>
      <c r="EZS27"/>
      <c r="EZT27"/>
      <c r="EZU27"/>
      <c r="EZV27"/>
      <c r="EZW27"/>
      <c r="EZX27"/>
      <c r="EZY27"/>
      <c r="EZZ27"/>
      <c r="FAA27"/>
      <c r="FAB27"/>
      <c r="FAC27"/>
      <c r="FAD27"/>
      <c r="FAE27"/>
      <c r="FAF27"/>
      <c r="FAG27"/>
      <c r="FAH27"/>
      <c r="FAI27"/>
      <c r="FAJ27"/>
      <c r="FAK27"/>
      <c r="FAL27"/>
      <c r="FAM27"/>
      <c r="FAN27"/>
      <c r="FAO27"/>
      <c r="FAP27"/>
      <c r="FAQ27"/>
      <c r="FAR27"/>
      <c r="FAS27"/>
      <c r="FAT27"/>
      <c r="FAU27"/>
      <c r="FAV27"/>
      <c r="FAW27"/>
      <c r="FAX27"/>
      <c r="FAY27"/>
      <c r="FAZ27"/>
      <c r="FBA27"/>
      <c r="FBB27"/>
      <c r="FBC27"/>
      <c r="FBD27"/>
      <c r="FBE27"/>
      <c r="FBF27"/>
      <c r="FBG27"/>
      <c r="FBH27"/>
      <c r="FBI27"/>
      <c r="FBJ27"/>
      <c r="FBK27"/>
      <c r="FBL27"/>
      <c r="FBM27"/>
      <c r="FBN27"/>
      <c r="FBO27"/>
      <c r="FBP27"/>
      <c r="FBQ27"/>
      <c r="FBR27"/>
      <c r="FBS27"/>
      <c r="FBT27"/>
      <c r="FBU27"/>
      <c r="FBV27"/>
      <c r="FBW27"/>
      <c r="FBX27"/>
      <c r="FBY27"/>
      <c r="FBZ27"/>
      <c r="FCA27"/>
      <c r="FCB27"/>
      <c r="FCC27"/>
      <c r="FCD27"/>
      <c r="FCE27"/>
      <c r="FCF27"/>
      <c r="FCG27"/>
      <c r="FCH27"/>
      <c r="FCI27"/>
      <c r="FCJ27"/>
      <c r="FCK27"/>
      <c r="FCL27"/>
      <c r="FCM27"/>
      <c r="FCN27"/>
      <c r="FCO27"/>
      <c r="FCP27"/>
      <c r="FCQ27"/>
      <c r="FCR27"/>
      <c r="FCS27"/>
      <c r="FCT27"/>
      <c r="FCU27"/>
      <c r="FCV27"/>
      <c r="FCW27"/>
      <c r="FCX27"/>
      <c r="FCY27"/>
      <c r="FCZ27"/>
      <c r="FDA27"/>
      <c r="FDB27"/>
      <c r="FDC27"/>
      <c r="FDD27"/>
      <c r="FDE27"/>
      <c r="FDF27"/>
      <c r="FDG27"/>
      <c r="FDH27"/>
      <c r="FDI27"/>
      <c r="FDJ27"/>
      <c r="FDK27"/>
      <c r="FDL27"/>
      <c r="FDM27"/>
      <c r="FDN27"/>
      <c r="FDO27"/>
      <c r="FDP27"/>
      <c r="FDQ27"/>
      <c r="FDR27"/>
      <c r="FDS27"/>
      <c r="FDT27"/>
      <c r="FDU27"/>
      <c r="FDV27"/>
      <c r="FDW27"/>
      <c r="FDX27"/>
      <c r="FDY27"/>
      <c r="FDZ27"/>
      <c r="FEA27"/>
      <c r="FEB27"/>
      <c r="FEC27"/>
      <c r="FED27"/>
      <c r="FEE27"/>
      <c r="FEF27"/>
      <c r="FEG27"/>
      <c r="FEH27"/>
      <c r="FEI27"/>
      <c r="FEJ27"/>
      <c r="FEK27"/>
      <c r="FEL27"/>
      <c r="FEM27"/>
      <c r="FEN27"/>
      <c r="FEO27"/>
      <c r="FEP27"/>
      <c r="FEQ27"/>
      <c r="FER27"/>
      <c r="FES27"/>
      <c r="FET27"/>
      <c r="FEU27"/>
      <c r="FEV27"/>
      <c r="FEW27"/>
      <c r="FEX27"/>
      <c r="FEY27"/>
      <c r="FEZ27"/>
      <c r="FFA27"/>
      <c r="FFB27"/>
      <c r="FFC27"/>
      <c r="FFD27"/>
      <c r="FFE27"/>
      <c r="FFF27"/>
      <c r="FFG27"/>
      <c r="FFH27"/>
      <c r="FFI27"/>
      <c r="FFJ27"/>
      <c r="FFK27"/>
      <c r="FFL27"/>
      <c r="FFM27"/>
      <c r="FFN27"/>
      <c r="FFO27"/>
      <c r="FFP27"/>
      <c r="FFQ27"/>
      <c r="FFR27"/>
      <c r="FFS27"/>
      <c r="FFT27"/>
      <c r="FFU27"/>
      <c r="FFV27"/>
      <c r="FFW27"/>
      <c r="FFX27"/>
      <c r="FFY27"/>
      <c r="FFZ27"/>
      <c r="FGA27"/>
      <c r="FGB27"/>
      <c r="FGC27"/>
      <c r="FGD27"/>
      <c r="FGE27"/>
      <c r="FGF27"/>
      <c r="FGG27"/>
      <c r="FGH27"/>
      <c r="FGI27"/>
      <c r="FGJ27"/>
      <c r="FGK27"/>
      <c r="FGL27"/>
      <c r="FGM27"/>
      <c r="FGN27"/>
      <c r="FGO27"/>
      <c r="FGP27"/>
      <c r="FGQ27"/>
      <c r="FGR27"/>
      <c r="FGS27"/>
      <c r="FGT27"/>
      <c r="FGU27"/>
      <c r="FGV27"/>
      <c r="FGW27"/>
      <c r="FGX27"/>
      <c r="FGY27"/>
      <c r="FGZ27"/>
      <c r="FHA27"/>
      <c r="FHB27"/>
      <c r="FHC27"/>
      <c r="FHD27"/>
      <c r="FHE27"/>
      <c r="FHF27"/>
      <c r="FHG27"/>
      <c r="FHH27"/>
      <c r="FHI27"/>
      <c r="FHJ27"/>
      <c r="FHK27"/>
      <c r="FHL27"/>
      <c r="FHM27"/>
      <c r="FHN27"/>
      <c r="FHO27"/>
      <c r="FHP27"/>
      <c r="FHQ27"/>
      <c r="FHR27"/>
      <c r="FHS27"/>
      <c r="FHT27"/>
      <c r="FHU27"/>
      <c r="FHV27"/>
      <c r="FHW27"/>
      <c r="FHX27"/>
      <c r="FHY27"/>
      <c r="FHZ27"/>
      <c r="FIA27"/>
      <c r="FIB27"/>
      <c r="FIC27"/>
      <c r="FID27"/>
      <c r="FIE27"/>
      <c r="FIF27"/>
      <c r="FIG27"/>
      <c r="FIH27"/>
      <c r="FII27"/>
      <c r="FIJ27"/>
      <c r="FIK27"/>
      <c r="FIL27"/>
      <c r="FIM27"/>
      <c r="FIN27"/>
      <c r="FIO27"/>
      <c r="FIP27"/>
      <c r="FIQ27"/>
      <c r="FIR27"/>
      <c r="FIS27"/>
      <c r="FIT27"/>
      <c r="FIU27"/>
      <c r="FIV27"/>
      <c r="FIW27"/>
      <c r="FIX27"/>
      <c r="FIY27"/>
      <c r="FIZ27"/>
      <c r="FJA27"/>
      <c r="FJB27"/>
      <c r="FJC27"/>
      <c r="FJD27"/>
      <c r="FJE27"/>
      <c r="FJF27"/>
      <c r="FJG27"/>
      <c r="FJH27"/>
      <c r="FJI27"/>
      <c r="FJJ27"/>
      <c r="FJK27"/>
      <c r="FJL27"/>
      <c r="FJM27"/>
      <c r="FJN27"/>
      <c r="FJO27"/>
      <c r="FJP27"/>
      <c r="FJQ27"/>
      <c r="FJR27"/>
      <c r="FJS27"/>
      <c r="FJT27"/>
      <c r="FJU27"/>
      <c r="FJV27"/>
      <c r="FJW27"/>
      <c r="FJX27"/>
      <c r="FJY27"/>
      <c r="FJZ27"/>
      <c r="FKA27"/>
      <c r="FKB27"/>
      <c r="FKC27"/>
      <c r="FKD27"/>
      <c r="FKE27"/>
      <c r="FKF27"/>
      <c r="FKG27"/>
      <c r="FKH27"/>
      <c r="FKI27"/>
      <c r="FKJ27"/>
      <c r="FKK27"/>
      <c r="FKL27"/>
      <c r="FKM27"/>
      <c r="FKN27"/>
      <c r="FKO27"/>
      <c r="FKP27"/>
      <c r="FKQ27"/>
      <c r="FKR27"/>
      <c r="FKS27"/>
      <c r="FKT27"/>
      <c r="FKU27"/>
      <c r="FKV27"/>
      <c r="FKW27"/>
      <c r="FKX27"/>
      <c r="FKY27"/>
      <c r="FKZ27"/>
      <c r="FLA27"/>
      <c r="FLB27"/>
      <c r="FLC27"/>
      <c r="FLD27"/>
      <c r="FLE27"/>
      <c r="FLF27"/>
      <c r="FLG27"/>
      <c r="FLH27"/>
      <c r="FLI27"/>
      <c r="FLJ27"/>
      <c r="FLK27"/>
      <c r="FLL27"/>
      <c r="FLM27"/>
      <c r="FLN27"/>
      <c r="FLO27"/>
      <c r="FLP27"/>
      <c r="FLQ27"/>
      <c r="FLR27"/>
      <c r="FLS27"/>
      <c r="FLT27"/>
      <c r="FLU27"/>
      <c r="FLV27"/>
      <c r="FLW27"/>
      <c r="FLX27"/>
      <c r="FLY27"/>
      <c r="FLZ27"/>
      <c r="FMA27"/>
      <c r="FMB27"/>
      <c r="FMC27"/>
      <c r="FMD27"/>
      <c r="FME27"/>
      <c r="FMF27"/>
      <c r="FMG27"/>
      <c r="FMH27"/>
      <c r="FMI27"/>
      <c r="FMJ27"/>
      <c r="FMK27"/>
      <c r="FML27"/>
      <c r="FMM27"/>
      <c r="FMN27"/>
      <c r="FMO27"/>
      <c r="FMP27"/>
      <c r="FMQ27"/>
      <c r="FMR27"/>
      <c r="FMS27"/>
      <c r="FMT27"/>
      <c r="FMU27"/>
      <c r="FMV27"/>
      <c r="FMW27"/>
      <c r="FMX27"/>
      <c r="FMY27"/>
      <c r="FMZ27"/>
      <c r="FNA27"/>
      <c r="FNB27"/>
      <c r="FNC27"/>
      <c r="FND27"/>
      <c r="FNE27"/>
      <c r="FNF27"/>
      <c r="FNG27"/>
      <c r="FNH27"/>
      <c r="FNI27"/>
      <c r="FNJ27"/>
      <c r="FNK27"/>
      <c r="FNL27"/>
      <c r="FNM27"/>
      <c r="FNN27"/>
      <c r="FNO27"/>
      <c r="FNP27"/>
      <c r="FNQ27"/>
      <c r="FNR27"/>
      <c r="FNS27"/>
      <c r="FNT27"/>
      <c r="FNU27"/>
      <c r="FNV27"/>
      <c r="FNW27"/>
      <c r="FNX27"/>
      <c r="FNY27"/>
      <c r="FNZ27"/>
      <c r="FOA27"/>
      <c r="FOB27"/>
      <c r="FOC27"/>
      <c r="FOD27"/>
      <c r="FOE27"/>
      <c r="FOF27"/>
      <c r="FOG27"/>
      <c r="FOH27"/>
      <c r="FOI27"/>
      <c r="FOJ27"/>
      <c r="FOK27"/>
      <c r="FOL27"/>
      <c r="FOM27"/>
      <c r="FON27"/>
      <c r="FOO27"/>
      <c r="FOP27"/>
      <c r="FOQ27"/>
      <c r="FOR27"/>
      <c r="FOS27"/>
      <c r="FOT27"/>
      <c r="FOU27"/>
      <c r="FOV27"/>
      <c r="FOW27"/>
      <c r="FOX27"/>
      <c r="FOY27"/>
      <c r="FOZ27"/>
      <c r="FPA27"/>
      <c r="FPB27"/>
      <c r="FPC27"/>
      <c r="FPD27"/>
      <c r="FPE27"/>
      <c r="FPF27"/>
      <c r="FPG27"/>
      <c r="FPH27"/>
      <c r="FPI27"/>
      <c r="FPJ27"/>
      <c r="FPK27"/>
      <c r="FPL27"/>
      <c r="FPM27"/>
      <c r="FPN27"/>
      <c r="FPO27"/>
      <c r="FPP27"/>
      <c r="FPQ27"/>
      <c r="FPR27"/>
      <c r="FPS27"/>
      <c r="FPT27"/>
      <c r="FPU27"/>
      <c r="FPV27"/>
      <c r="FPW27"/>
      <c r="FPX27"/>
      <c r="FPY27"/>
      <c r="FPZ27"/>
      <c r="FQA27"/>
      <c r="FQB27"/>
      <c r="FQC27"/>
      <c r="FQD27"/>
      <c r="FQE27"/>
      <c r="FQF27"/>
      <c r="FQG27"/>
      <c r="FQH27"/>
      <c r="FQI27"/>
      <c r="FQJ27"/>
      <c r="FQK27"/>
      <c r="FQL27"/>
      <c r="FQM27"/>
      <c r="FQN27"/>
      <c r="FQO27"/>
      <c r="FQP27"/>
      <c r="FQQ27"/>
      <c r="FQR27"/>
      <c r="FQS27"/>
      <c r="FQT27"/>
      <c r="FQU27"/>
      <c r="FQV27"/>
      <c r="FQW27"/>
      <c r="FQX27"/>
      <c r="FQY27"/>
      <c r="FQZ27"/>
      <c r="FRA27"/>
      <c r="FRB27"/>
      <c r="FRC27"/>
      <c r="FRD27"/>
      <c r="FRE27"/>
      <c r="FRF27"/>
      <c r="FRG27"/>
      <c r="FRH27"/>
      <c r="FRI27"/>
      <c r="FRJ27"/>
      <c r="FRK27"/>
      <c r="FRL27"/>
      <c r="FRM27"/>
      <c r="FRN27"/>
      <c r="FRO27"/>
      <c r="FRP27"/>
      <c r="FRQ27"/>
      <c r="FRR27"/>
      <c r="FRS27"/>
      <c r="FRT27"/>
      <c r="FRU27"/>
      <c r="FRV27"/>
      <c r="FRW27"/>
      <c r="FRX27"/>
      <c r="FRY27"/>
      <c r="FRZ27"/>
      <c r="FSA27"/>
      <c r="FSB27"/>
      <c r="FSC27"/>
      <c r="FSD27"/>
      <c r="FSE27"/>
      <c r="FSF27"/>
      <c r="FSG27"/>
      <c r="FSH27"/>
      <c r="FSI27"/>
      <c r="FSJ27"/>
      <c r="FSK27"/>
      <c r="FSL27"/>
      <c r="FSM27"/>
      <c r="FSN27"/>
      <c r="FSO27"/>
      <c r="FSP27"/>
      <c r="FSQ27"/>
      <c r="FSR27"/>
      <c r="FSS27"/>
      <c r="FST27"/>
      <c r="FSU27"/>
      <c r="FSV27"/>
      <c r="FSW27"/>
      <c r="FSX27"/>
      <c r="FSY27"/>
      <c r="FSZ27"/>
      <c r="FTA27"/>
      <c r="FTB27"/>
      <c r="FTC27"/>
      <c r="FTD27"/>
      <c r="FTE27"/>
      <c r="FTF27"/>
      <c r="FTG27"/>
      <c r="FTH27"/>
      <c r="FTI27"/>
      <c r="FTJ27"/>
      <c r="FTK27"/>
      <c r="FTL27"/>
      <c r="FTM27"/>
      <c r="FTN27"/>
      <c r="FTO27"/>
      <c r="FTP27"/>
      <c r="FTQ27"/>
      <c r="FTR27"/>
      <c r="FTS27"/>
      <c r="FTT27"/>
      <c r="FTU27"/>
      <c r="FTV27"/>
      <c r="FTW27"/>
      <c r="FTX27"/>
      <c r="FTY27"/>
      <c r="FTZ27"/>
      <c r="FUA27"/>
      <c r="FUB27"/>
      <c r="FUC27"/>
      <c r="FUD27"/>
      <c r="FUE27"/>
      <c r="FUF27"/>
      <c r="FUG27"/>
      <c r="FUH27"/>
      <c r="FUI27"/>
      <c r="FUJ27"/>
      <c r="FUK27"/>
      <c r="FUL27"/>
      <c r="FUM27"/>
      <c r="FUN27"/>
      <c r="FUO27"/>
      <c r="FUP27"/>
      <c r="FUQ27"/>
      <c r="FUR27"/>
      <c r="FUS27"/>
      <c r="FUT27"/>
      <c r="FUU27"/>
      <c r="FUV27"/>
      <c r="FUW27"/>
      <c r="FUX27"/>
      <c r="FUY27"/>
      <c r="FUZ27"/>
      <c r="FVA27"/>
      <c r="FVB27"/>
      <c r="FVC27"/>
      <c r="FVD27"/>
      <c r="FVE27"/>
      <c r="FVF27"/>
      <c r="FVG27"/>
      <c r="FVH27"/>
      <c r="FVI27"/>
      <c r="FVJ27"/>
      <c r="FVK27"/>
      <c r="FVL27"/>
      <c r="FVM27"/>
      <c r="FVN27"/>
      <c r="FVO27"/>
      <c r="FVP27"/>
      <c r="FVQ27"/>
      <c r="FVR27"/>
      <c r="FVS27"/>
      <c r="FVT27"/>
      <c r="FVU27"/>
      <c r="FVV27"/>
      <c r="FVW27"/>
      <c r="FVX27"/>
      <c r="FVY27"/>
      <c r="FVZ27"/>
      <c r="FWA27"/>
      <c r="FWB27"/>
      <c r="FWC27"/>
      <c r="FWD27"/>
      <c r="FWE27"/>
      <c r="FWF27"/>
      <c r="FWG27"/>
      <c r="FWH27"/>
      <c r="FWI27"/>
      <c r="FWJ27"/>
      <c r="FWK27"/>
      <c r="FWL27"/>
      <c r="FWM27"/>
      <c r="FWN27"/>
      <c r="FWO27"/>
      <c r="FWP27"/>
      <c r="FWQ27"/>
      <c r="FWR27"/>
      <c r="FWS27"/>
      <c r="FWT27"/>
      <c r="FWU27"/>
      <c r="FWV27"/>
      <c r="FWW27"/>
      <c r="FWX27"/>
      <c r="FWY27"/>
      <c r="FWZ27"/>
      <c r="FXA27"/>
      <c r="FXB27"/>
      <c r="FXC27"/>
      <c r="FXD27"/>
      <c r="FXE27"/>
      <c r="FXF27"/>
      <c r="FXG27"/>
      <c r="FXH27"/>
      <c r="FXI27"/>
      <c r="FXJ27"/>
      <c r="FXK27"/>
      <c r="FXL27"/>
      <c r="FXM27"/>
      <c r="FXN27"/>
      <c r="FXO27"/>
      <c r="FXP27"/>
      <c r="FXQ27"/>
      <c r="FXR27"/>
      <c r="FXS27"/>
      <c r="FXT27"/>
      <c r="FXU27"/>
      <c r="FXV27"/>
      <c r="FXW27"/>
      <c r="FXX27"/>
      <c r="FXY27"/>
      <c r="FXZ27"/>
      <c r="FYA27"/>
      <c r="FYB27"/>
      <c r="FYC27"/>
      <c r="FYD27"/>
      <c r="FYE27"/>
      <c r="FYF27"/>
      <c r="FYG27"/>
      <c r="FYH27"/>
      <c r="FYI27"/>
      <c r="FYJ27"/>
      <c r="FYK27"/>
      <c r="FYL27"/>
      <c r="FYM27"/>
      <c r="FYN27"/>
      <c r="FYO27"/>
      <c r="FYP27"/>
      <c r="FYQ27"/>
      <c r="FYR27"/>
      <c r="FYS27"/>
      <c r="FYT27"/>
      <c r="FYU27"/>
      <c r="FYV27"/>
      <c r="FYW27"/>
      <c r="FYX27"/>
      <c r="FYY27"/>
      <c r="FYZ27"/>
      <c r="FZA27"/>
      <c r="FZB27"/>
      <c r="FZC27"/>
      <c r="FZD27"/>
      <c r="FZE27"/>
      <c r="FZF27"/>
      <c r="FZG27"/>
      <c r="FZH27"/>
      <c r="FZI27"/>
      <c r="FZJ27"/>
      <c r="FZK27"/>
      <c r="FZL27"/>
      <c r="FZM27"/>
      <c r="FZN27"/>
      <c r="FZO27"/>
      <c r="FZP27"/>
      <c r="FZQ27"/>
      <c r="FZR27"/>
      <c r="FZS27"/>
      <c r="FZT27"/>
      <c r="FZU27"/>
      <c r="FZV27"/>
      <c r="FZW27"/>
      <c r="FZX27"/>
      <c r="FZY27"/>
      <c r="FZZ27"/>
      <c r="GAA27"/>
      <c r="GAB27"/>
      <c r="GAC27"/>
      <c r="GAD27"/>
      <c r="GAE27"/>
      <c r="GAF27"/>
      <c r="GAG27"/>
      <c r="GAH27"/>
      <c r="GAI27"/>
      <c r="GAJ27"/>
      <c r="GAK27"/>
      <c r="GAL27"/>
      <c r="GAM27"/>
      <c r="GAN27"/>
      <c r="GAO27"/>
      <c r="GAP27"/>
      <c r="GAQ27"/>
      <c r="GAR27"/>
      <c r="GAS27"/>
      <c r="GAT27"/>
      <c r="GAU27"/>
      <c r="GAV27"/>
      <c r="GAW27"/>
      <c r="GAX27"/>
      <c r="GAY27"/>
      <c r="GAZ27"/>
      <c r="GBA27"/>
      <c r="GBB27"/>
      <c r="GBC27"/>
      <c r="GBD27"/>
      <c r="GBE27"/>
      <c r="GBF27"/>
      <c r="GBG27"/>
      <c r="GBH27"/>
      <c r="GBI27"/>
      <c r="GBJ27"/>
      <c r="GBK27"/>
      <c r="GBL27"/>
      <c r="GBM27"/>
      <c r="GBN27"/>
      <c r="GBO27"/>
      <c r="GBP27"/>
      <c r="GBQ27"/>
      <c r="GBR27"/>
      <c r="GBS27"/>
      <c r="GBT27"/>
      <c r="GBU27"/>
      <c r="GBV27"/>
      <c r="GBW27"/>
      <c r="GBX27"/>
      <c r="GBY27"/>
      <c r="GBZ27"/>
      <c r="GCA27"/>
      <c r="GCB27"/>
      <c r="GCC27"/>
      <c r="GCD27"/>
      <c r="GCE27"/>
      <c r="GCF27"/>
      <c r="GCG27"/>
      <c r="GCH27"/>
      <c r="GCI27"/>
      <c r="GCJ27"/>
      <c r="GCK27"/>
      <c r="GCL27"/>
      <c r="GCM27"/>
      <c r="GCN27"/>
      <c r="GCO27"/>
      <c r="GCP27"/>
      <c r="GCQ27"/>
      <c r="GCR27"/>
      <c r="GCS27"/>
      <c r="GCT27"/>
      <c r="GCU27"/>
      <c r="GCV27"/>
      <c r="GCW27"/>
      <c r="GCX27"/>
      <c r="GCY27"/>
      <c r="GCZ27"/>
      <c r="GDA27"/>
      <c r="GDB27"/>
      <c r="GDC27"/>
      <c r="GDD27"/>
      <c r="GDE27"/>
      <c r="GDF27"/>
      <c r="GDG27"/>
      <c r="GDH27"/>
      <c r="GDI27"/>
      <c r="GDJ27"/>
      <c r="GDK27"/>
      <c r="GDL27"/>
      <c r="GDM27"/>
      <c r="GDN27"/>
      <c r="GDO27"/>
      <c r="GDP27"/>
      <c r="GDQ27"/>
      <c r="GDR27"/>
      <c r="GDS27"/>
      <c r="GDT27"/>
      <c r="GDU27"/>
      <c r="GDV27"/>
      <c r="GDW27"/>
      <c r="GDX27"/>
      <c r="GDY27"/>
      <c r="GDZ27"/>
      <c r="GEA27"/>
      <c r="GEB27"/>
      <c r="GEC27"/>
      <c r="GED27"/>
      <c r="GEE27"/>
      <c r="GEF27"/>
      <c r="GEG27"/>
      <c r="GEH27"/>
      <c r="GEI27"/>
      <c r="GEJ27"/>
      <c r="GEK27"/>
      <c r="GEL27"/>
      <c r="GEM27"/>
      <c r="GEN27"/>
      <c r="GEO27"/>
      <c r="GEP27"/>
      <c r="GEQ27"/>
      <c r="GER27"/>
      <c r="GES27"/>
      <c r="GET27"/>
      <c r="GEU27"/>
      <c r="GEV27"/>
      <c r="GEW27"/>
      <c r="GEX27"/>
      <c r="GEY27"/>
      <c r="GEZ27"/>
      <c r="GFA27"/>
      <c r="GFB27"/>
      <c r="GFC27"/>
      <c r="GFD27"/>
      <c r="GFE27"/>
      <c r="GFF27"/>
      <c r="GFG27"/>
      <c r="GFH27"/>
      <c r="GFI27"/>
      <c r="GFJ27"/>
      <c r="GFK27"/>
      <c r="GFL27"/>
      <c r="GFM27"/>
      <c r="GFN27"/>
      <c r="GFO27"/>
      <c r="GFP27"/>
      <c r="GFQ27"/>
      <c r="GFR27"/>
      <c r="GFS27"/>
      <c r="GFT27"/>
      <c r="GFU27"/>
      <c r="GFV27"/>
      <c r="GFW27"/>
      <c r="GFX27"/>
      <c r="GFY27"/>
      <c r="GFZ27"/>
      <c r="GGA27"/>
      <c r="GGB27"/>
      <c r="GGC27"/>
      <c r="GGD27"/>
      <c r="GGE27"/>
      <c r="GGF27"/>
      <c r="GGG27"/>
      <c r="GGH27"/>
      <c r="GGI27"/>
      <c r="GGJ27"/>
      <c r="GGK27"/>
      <c r="GGL27"/>
      <c r="GGM27"/>
      <c r="GGN27"/>
      <c r="GGO27"/>
      <c r="GGP27"/>
      <c r="GGQ27"/>
      <c r="GGR27"/>
      <c r="GGS27"/>
      <c r="GGT27"/>
      <c r="GGU27"/>
      <c r="GGV27"/>
      <c r="GGW27"/>
      <c r="GGX27"/>
      <c r="GGY27"/>
      <c r="GGZ27"/>
      <c r="GHA27"/>
      <c r="GHB27"/>
      <c r="GHC27"/>
      <c r="GHD27"/>
      <c r="GHE27"/>
      <c r="GHF27"/>
      <c r="GHG27"/>
      <c r="GHH27"/>
      <c r="GHI27"/>
      <c r="GHJ27"/>
      <c r="GHK27"/>
      <c r="GHL27"/>
      <c r="GHM27"/>
      <c r="GHN27"/>
      <c r="GHO27"/>
      <c r="GHP27"/>
      <c r="GHQ27"/>
      <c r="GHR27"/>
      <c r="GHS27"/>
      <c r="GHT27"/>
      <c r="GHU27"/>
      <c r="GHV27"/>
      <c r="GHW27"/>
      <c r="GHX27"/>
      <c r="GHY27"/>
      <c r="GHZ27"/>
      <c r="GIA27"/>
      <c r="GIB27"/>
      <c r="GIC27"/>
      <c r="GID27"/>
      <c r="GIE27"/>
      <c r="GIF27"/>
      <c r="GIG27"/>
      <c r="GIH27"/>
      <c r="GII27"/>
      <c r="GIJ27"/>
      <c r="GIK27"/>
      <c r="GIL27"/>
      <c r="GIM27"/>
      <c r="GIN27"/>
      <c r="GIO27"/>
      <c r="GIP27"/>
      <c r="GIQ27"/>
      <c r="GIR27"/>
      <c r="GIS27"/>
      <c r="GIT27"/>
      <c r="GIU27"/>
      <c r="GIV27"/>
      <c r="GIW27"/>
      <c r="GIX27"/>
      <c r="GIY27"/>
      <c r="GIZ27"/>
      <c r="GJA27"/>
      <c r="GJB27"/>
      <c r="GJC27"/>
      <c r="GJD27"/>
      <c r="GJE27"/>
      <c r="GJF27"/>
      <c r="GJG27"/>
      <c r="GJH27"/>
      <c r="GJI27"/>
      <c r="GJJ27"/>
      <c r="GJK27"/>
      <c r="GJL27"/>
      <c r="GJM27"/>
      <c r="GJN27"/>
      <c r="GJO27"/>
      <c r="GJP27"/>
      <c r="GJQ27"/>
      <c r="GJR27"/>
    </row>
    <row r="28" customFormat="1" spans="1:1024 1025:5010">
      <c r="A28" s="74">
        <v>1</v>
      </c>
      <c r="B28" s="45">
        <v>46341</v>
      </c>
      <c r="C28" s="46">
        <f t="shared" ref="C28:C37" si="0">ROUND(D28+E28,2)</f>
        <v>58944444.44</v>
      </c>
      <c r="D28" s="46">
        <f t="shared" ref="D28:D37" si="1">ROUND($B$4/$B$10,2)</f>
        <v>50000000</v>
      </c>
      <c r="E28" s="46">
        <f>ROUND($B$4*$B$5/360*(B28-$B$13),2)</f>
        <v>8944444.44</v>
      </c>
      <c r="F28" s="46">
        <f>D28</f>
        <v>50000000</v>
      </c>
      <c r="G28" s="46">
        <f t="shared" ref="G28:G37" si="2">$B$4-F28</f>
        <v>450000000</v>
      </c>
      <c r="H28" s="46">
        <f t="shared" ref="H28:H37" si="3">SUM($C$28:$C$37)-I28</f>
        <v>489919444.46</v>
      </c>
      <c r="I28" s="46">
        <f>C28</f>
        <v>58944444.44</v>
      </c>
      <c r="J28" s="74">
        <f>DATEDIF($B$13,B28,"M")</f>
        <v>6</v>
      </c>
      <c r="K28" s="74"/>
      <c r="L28" s="74"/>
      <c r="M28" s="75">
        <v>0.035</v>
      </c>
    </row>
    <row r="29" customFormat="1" spans="1:1024 1025:5010">
      <c r="A29" s="74">
        <v>2</v>
      </c>
      <c r="B29" s="45">
        <v>46522</v>
      </c>
      <c r="C29" s="46">
        <f t="shared" si="0"/>
        <v>57918750</v>
      </c>
      <c r="D29" s="46">
        <f t="shared" si="1"/>
        <v>50000000</v>
      </c>
      <c r="E29" s="46">
        <f t="shared" ref="E29:E37" si="4">ROUND(G28*$B$5/360*(B29-B28),2)</f>
        <v>7918750</v>
      </c>
      <c r="F29" s="46">
        <f t="shared" ref="F29:F37" si="5">D29+F28</f>
        <v>100000000</v>
      </c>
      <c r="G29" s="46">
        <f t="shared" si="2"/>
        <v>400000000</v>
      </c>
      <c r="H29" s="46">
        <f t="shared" si="3"/>
        <v>432000694.46</v>
      </c>
      <c r="I29" s="46">
        <f t="shared" ref="I29:I37" si="6">C29+I28</f>
        <v>116863194.44</v>
      </c>
      <c r="J29" s="74">
        <f t="shared" ref="J29:J37" si="7">DATEDIF(B28,B29,"M")</f>
        <v>6</v>
      </c>
      <c r="K29" s="74"/>
      <c r="L29" s="74"/>
      <c r="M29" s="76">
        <v>0.035</v>
      </c>
    </row>
    <row r="30" spans="1:1024 1025:5010">
      <c r="A30" s="74">
        <v>3</v>
      </c>
      <c r="B30" s="45">
        <v>46706</v>
      </c>
      <c r="C30" s="46">
        <f t="shared" si="0"/>
        <v>57155555.56</v>
      </c>
      <c r="D30" s="46">
        <f t="shared" si="1"/>
        <v>50000000</v>
      </c>
      <c r="E30" s="46">
        <f t="shared" si="4"/>
        <v>7155555.56</v>
      </c>
      <c r="F30" s="46">
        <f t="shared" si="5"/>
        <v>150000000</v>
      </c>
      <c r="G30" s="46">
        <f t="shared" si="2"/>
        <v>350000000</v>
      </c>
      <c r="H30" s="46">
        <f t="shared" si="3"/>
        <v>374845138.9</v>
      </c>
      <c r="I30" s="46">
        <f t="shared" si="6"/>
        <v>174018750</v>
      </c>
      <c r="J30" s="74">
        <f t="shared" si="7"/>
        <v>6</v>
      </c>
      <c r="K30" s="74"/>
      <c r="L30" s="74"/>
      <c r="M30" s="76">
        <v>0.035</v>
      </c>
    </row>
    <row r="31" spans="1:1024 1025:5010">
      <c r="A31" s="74">
        <v>4</v>
      </c>
      <c r="B31" s="45">
        <v>46888</v>
      </c>
      <c r="C31" s="46">
        <f t="shared" si="0"/>
        <v>56193055.56</v>
      </c>
      <c r="D31" s="46">
        <f t="shared" si="1"/>
        <v>50000000</v>
      </c>
      <c r="E31" s="46">
        <f t="shared" si="4"/>
        <v>6193055.56</v>
      </c>
      <c r="F31" s="46">
        <f t="shared" si="5"/>
        <v>200000000</v>
      </c>
      <c r="G31" s="46">
        <f t="shared" si="2"/>
        <v>300000000</v>
      </c>
      <c r="H31" s="46">
        <f t="shared" si="3"/>
        <v>318652083.34</v>
      </c>
      <c r="I31" s="46">
        <f t="shared" si="6"/>
        <v>230211805.56</v>
      </c>
      <c r="J31" s="74">
        <f t="shared" si="7"/>
        <v>6</v>
      </c>
      <c r="K31" s="74"/>
      <c r="L31" s="74"/>
      <c r="M31" s="76">
        <v>0.035</v>
      </c>
    </row>
    <row r="32" spans="1:1024 1025:5010">
      <c r="A32" s="74">
        <v>5</v>
      </c>
      <c r="B32" s="45">
        <v>47072</v>
      </c>
      <c r="C32" s="46">
        <f t="shared" si="0"/>
        <v>55366666.67</v>
      </c>
      <c r="D32" s="46">
        <f t="shared" si="1"/>
        <v>50000000</v>
      </c>
      <c r="E32" s="46">
        <f t="shared" si="4"/>
        <v>5366666.67</v>
      </c>
      <c r="F32" s="46">
        <f t="shared" si="5"/>
        <v>250000000</v>
      </c>
      <c r="G32" s="46">
        <f t="shared" si="2"/>
        <v>250000000</v>
      </c>
      <c r="H32" s="46">
        <f t="shared" si="3"/>
        <v>263285416.67</v>
      </c>
      <c r="I32" s="46">
        <f t="shared" si="6"/>
        <v>285578472.23</v>
      </c>
      <c r="J32" s="74">
        <f t="shared" si="7"/>
        <v>6</v>
      </c>
      <c r="K32" s="74"/>
      <c r="L32" s="74"/>
      <c r="M32" s="76">
        <v>0.035</v>
      </c>
    </row>
    <row r="33" spans="1:13">
      <c r="A33" s="74">
        <v>6</v>
      </c>
      <c r="B33" s="45">
        <v>47253</v>
      </c>
      <c r="C33" s="46">
        <f t="shared" si="0"/>
        <v>54399305.56</v>
      </c>
      <c r="D33" s="46">
        <f t="shared" si="1"/>
        <v>50000000</v>
      </c>
      <c r="E33" s="46">
        <f t="shared" si="4"/>
        <v>4399305.56</v>
      </c>
      <c r="F33" s="46">
        <f t="shared" si="5"/>
        <v>300000000</v>
      </c>
      <c r="G33" s="46">
        <f t="shared" si="2"/>
        <v>200000000</v>
      </c>
      <c r="H33" s="46">
        <f t="shared" si="3"/>
        <v>208886111.11</v>
      </c>
      <c r="I33" s="46">
        <f t="shared" si="6"/>
        <v>339977777.79</v>
      </c>
      <c r="J33" s="74">
        <f t="shared" si="7"/>
        <v>6</v>
      </c>
      <c r="K33" s="74"/>
      <c r="L33" s="74"/>
      <c r="M33" s="76">
        <v>0.035</v>
      </c>
    </row>
    <row r="34" spans="1:13">
      <c r="A34" s="74">
        <v>7</v>
      </c>
      <c r="B34" s="45">
        <v>47437</v>
      </c>
      <c r="C34" s="46">
        <f t="shared" si="0"/>
        <v>53577777.78</v>
      </c>
      <c r="D34" s="46">
        <f t="shared" si="1"/>
        <v>50000000</v>
      </c>
      <c r="E34" s="46">
        <f t="shared" si="4"/>
        <v>3577777.78</v>
      </c>
      <c r="F34" s="46">
        <f t="shared" si="5"/>
        <v>350000000</v>
      </c>
      <c r="G34" s="46">
        <f t="shared" si="2"/>
        <v>150000000</v>
      </c>
      <c r="H34" s="46">
        <f t="shared" si="3"/>
        <v>155308333.33</v>
      </c>
      <c r="I34" s="46">
        <f t="shared" si="6"/>
        <v>393555555.57</v>
      </c>
      <c r="J34" s="74">
        <f t="shared" si="7"/>
        <v>6</v>
      </c>
      <c r="K34" s="74"/>
      <c r="L34" s="74"/>
      <c r="M34" s="76">
        <v>0.035</v>
      </c>
    </row>
    <row r="35" spans="1:13">
      <c r="A35" s="74">
        <v>8</v>
      </c>
      <c r="B35" s="45">
        <v>47618</v>
      </c>
      <c r="C35" s="46">
        <f t="shared" si="0"/>
        <v>52639583.33</v>
      </c>
      <c r="D35" s="46">
        <f t="shared" si="1"/>
        <v>50000000</v>
      </c>
      <c r="E35" s="46">
        <f t="shared" si="4"/>
        <v>2639583.33</v>
      </c>
      <c r="F35" s="46">
        <f t="shared" si="5"/>
        <v>400000000</v>
      </c>
      <c r="G35" s="46">
        <f t="shared" si="2"/>
        <v>100000000</v>
      </c>
      <c r="H35" s="46">
        <f t="shared" si="3"/>
        <v>102668750</v>
      </c>
      <c r="I35" s="46">
        <f t="shared" si="6"/>
        <v>446195138.9</v>
      </c>
      <c r="J35" s="74">
        <f t="shared" si="7"/>
        <v>6</v>
      </c>
      <c r="K35" s="74"/>
      <c r="L35" s="74"/>
      <c r="M35" s="76">
        <v>0.035</v>
      </c>
    </row>
    <row r="36" spans="1:13">
      <c r="A36" s="74">
        <v>9</v>
      </c>
      <c r="B36" s="45">
        <v>47802</v>
      </c>
      <c r="C36" s="46">
        <f t="shared" si="0"/>
        <v>51788888.89</v>
      </c>
      <c r="D36" s="46">
        <f t="shared" si="1"/>
        <v>50000000</v>
      </c>
      <c r="E36" s="46">
        <f t="shared" si="4"/>
        <v>1788888.89</v>
      </c>
      <c r="F36" s="46">
        <f t="shared" si="5"/>
        <v>450000000</v>
      </c>
      <c r="G36" s="46">
        <f t="shared" si="2"/>
        <v>50000000</v>
      </c>
      <c r="H36" s="46">
        <f t="shared" si="3"/>
        <v>50879861.11</v>
      </c>
      <c r="I36" s="46">
        <f t="shared" si="6"/>
        <v>497984027.79</v>
      </c>
      <c r="J36" s="74">
        <f t="shared" si="7"/>
        <v>6</v>
      </c>
      <c r="K36" s="74"/>
      <c r="L36" s="74"/>
      <c r="M36" s="76">
        <v>0.035</v>
      </c>
    </row>
    <row r="37" spans="1:13">
      <c r="A37" s="74">
        <v>10</v>
      </c>
      <c r="B37" s="45">
        <v>47983</v>
      </c>
      <c r="C37" s="46">
        <f t="shared" si="0"/>
        <v>50879861.11</v>
      </c>
      <c r="D37" s="46">
        <f t="shared" si="1"/>
        <v>50000000</v>
      </c>
      <c r="E37" s="46">
        <f t="shared" si="4"/>
        <v>879861.11</v>
      </c>
      <c r="F37" s="46">
        <f t="shared" si="5"/>
        <v>500000000</v>
      </c>
      <c r="G37" s="46">
        <f t="shared" si="2"/>
        <v>0</v>
      </c>
      <c r="H37" s="46">
        <f t="shared" si="3"/>
        <v>0</v>
      </c>
      <c r="I37" s="46">
        <f t="shared" si="6"/>
        <v>548863888.9</v>
      </c>
      <c r="J37" s="74">
        <f t="shared" si="7"/>
        <v>6</v>
      </c>
      <c r="K37" s="74"/>
      <c r="L37" s="74"/>
      <c r="M37" s="76">
        <v>0.035</v>
      </c>
    </row>
    <row r="38" spans="1:13">
      <c r="A38" s="77" t="s">
        <v>56</v>
      </c>
      <c r="B38" s="77" t="s">
        <v>57</v>
      </c>
      <c r="C38" s="77">
        <f>SUM(C28:C37)</f>
        <v>548863888.9</v>
      </c>
      <c r="D38" s="77">
        <f>SUM(D28:D37)</f>
        <v>500000000</v>
      </c>
      <c r="E38" s="77">
        <f>SUM(E28:E37)</f>
        <v>48863888.9</v>
      </c>
      <c r="F38" s="77" t="s">
        <v>57</v>
      </c>
      <c r="G38" s="77" t="s">
        <v>57</v>
      </c>
      <c r="H38" s="77" t="s">
        <v>57</v>
      </c>
      <c r="I38" s="77" t="s">
        <v>57</v>
      </c>
      <c r="J38" s="77">
        <f>SUM(J28:J37)</f>
        <v>60</v>
      </c>
    </row>
    <row r="39" spans="1:13">
      <c r="A39"/>
      <c r="B39"/>
      <c r="C39"/>
      <c r="D39"/>
      <c r="E39"/>
      <c r="F39"/>
      <c r="G39"/>
      <c r="H39"/>
      <c r="I39"/>
    </row>
    <row r="40" spans="1:13">
      <c r="A40"/>
      <c r="B40"/>
      <c r="C40"/>
      <c r="D40"/>
      <c r="E40"/>
      <c r="F40"/>
      <c r="G40"/>
      <c r="H40"/>
      <c r="I40"/>
    </row>
    <row r="41" spans="1:13">
      <c r="A41"/>
      <c r="B41"/>
      <c r="C41"/>
      <c r="D41"/>
      <c r="E41"/>
      <c r="F41"/>
      <c r="G41"/>
      <c r="H41"/>
      <c r="I41"/>
    </row>
    <row r="42" ht="23.2" spans="1:13">
      <c r="A42" s="78" t="s">
        <v>58</v>
      </c>
      <c r="B42"/>
      <c r="C42"/>
      <c r="D42"/>
      <c r="E42"/>
      <c r="F42"/>
      <c r="G42"/>
      <c r="H42"/>
      <c r="I42"/>
    </row>
    <row r="43" ht="36" spans="1:13">
      <c r="A43" s="79" t="s">
        <v>44</v>
      </c>
      <c r="B43" s="79" t="s">
        <v>59</v>
      </c>
      <c r="C43" s="79" t="s">
        <v>60</v>
      </c>
      <c r="D43" s="79" t="s">
        <v>61</v>
      </c>
      <c r="E43" s="79" t="s">
        <v>62</v>
      </c>
      <c r="F43" s="79" t="s">
        <v>63</v>
      </c>
      <c r="G43" s="79" t="s">
        <v>64</v>
      </c>
      <c r="H43" s="79" t="s">
        <v>65</v>
      </c>
      <c r="I43" s="79" t="s">
        <v>66</v>
      </c>
      <c r="J43" s="79" t="s">
        <v>67</v>
      </c>
      <c r="K43" s="79" t="s">
        <v>68</v>
      </c>
    </row>
    <row r="44" ht="34" spans="1:13">
      <c r="A44" s="80">
        <v>0</v>
      </c>
      <c r="B44" s="45">
        <f>B13</f>
        <v>46157</v>
      </c>
      <c r="C44" s="46">
        <f t="shared" ref="C44:C58" si="8">SUM(G44:K44)</f>
        <v>-500500000</v>
      </c>
      <c r="D44" s="46" t="s">
        <v>84</v>
      </c>
      <c r="E44" s="46">
        <f t="shared" ref="E44:E58" si="9">SUM(F44:J44)</f>
        <v>-500000000</v>
      </c>
      <c r="F44" s="46" t="s">
        <v>85</v>
      </c>
      <c r="G44" s="46">
        <f>-B4</f>
        <v>-500000000</v>
      </c>
      <c r="H44" s="46"/>
      <c r="I44" s="46">
        <f>D6</f>
        <v>0</v>
      </c>
      <c r="J44" s="46"/>
      <c r="K44" s="46">
        <f>-B4*G16</f>
        <v>-500000</v>
      </c>
    </row>
    <row r="45" ht="18" spans="1:13">
      <c r="A45" s="79">
        <v>1</v>
      </c>
      <c r="B45" s="81">
        <f t="shared" ref="B45:B54" si="10">B28</f>
        <v>46341</v>
      </c>
      <c r="C45" s="82">
        <f t="shared" si="8"/>
        <v>58944444.44</v>
      </c>
      <c r="D45" s="82" t="s">
        <v>71</v>
      </c>
      <c r="E45" s="82">
        <f t="shared" si="9"/>
        <v>58944444.44</v>
      </c>
      <c r="F45" s="82" t="s">
        <v>71</v>
      </c>
      <c r="G45" s="82"/>
      <c r="H45" s="82">
        <f t="shared" ref="H45:H54" si="11">C28</f>
        <v>58944444.44</v>
      </c>
      <c r="I45" s="82"/>
      <c r="J45" s="82"/>
      <c r="K45" s="82"/>
    </row>
    <row r="46" ht="17" spans="1:13">
      <c r="A46" s="44">
        <v>2</v>
      </c>
      <c r="B46" s="45">
        <f t="shared" si="10"/>
        <v>46522</v>
      </c>
      <c r="C46" s="46">
        <f t="shared" si="8"/>
        <v>57918750</v>
      </c>
      <c r="D46" s="46" t="s">
        <v>72</v>
      </c>
      <c r="E46" s="46">
        <f t="shared" si="9"/>
        <v>57918750</v>
      </c>
      <c r="F46" s="46" t="s">
        <v>72</v>
      </c>
      <c r="G46" s="46"/>
      <c r="H46" s="46">
        <f t="shared" si="11"/>
        <v>57918750</v>
      </c>
      <c r="I46" s="46"/>
      <c r="J46" s="46"/>
      <c r="K46" s="46"/>
    </row>
    <row r="47" ht="17" spans="1:13">
      <c r="A47" s="44">
        <v>3</v>
      </c>
      <c r="B47" s="45">
        <f t="shared" si="10"/>
        <v>46706</v>
      </c>
      <c r="C47" s="46">
        <f t="shared" si="8"/>
        <v>57155555.56</v>
      </c>
      <c r="D47" s="46" t="s">
        <v>73</v>
      </c>
      <c r="E47" s="46">
        <f t="shared" si="9"/>
        <v>57155555.56</v>
      </c>
      <c r="F47" s="46" t="s">
        <v>73</v>
      </c>
      <c r="G47" s="46"/>
      <c r="H47" s="46">
        <f t="shared" si="11"/>
        <v>57155555.56</v>
      </c>
      <c r="I47" s="46"/>
      <c r="J47" s="46"/>
      <c r="K47" s="46"/>
    </row>
    <row r="48" ht="17" spans="1:13">
      <c r="A48" s="44">
        <v>4</v>
      </c>
      <c r="B48" s="45">
        <f t="shared" si="10"/>
        <v>46888</v>
      </c>
      <c r="C48" s="46">
        <f t="shared" si="8"/>
        <v>56193055.56</v>
      </c>
      <c r="D48" s="46" t="s">
        <v>74</v>
      </c>
      <c r="E48" s="46">
        <f t="shared" si="9"/>
        <v>56193055.56</v>
      </c>
      <c r="F48" s="46" t="s">
        <v>74</v>
      </c>
      <c r="G48" s="46"/>
      <c r="H48" s="46">
        <f t="shared" si="11"/>
        <v>56193055.56</v>
      </c>
      <c r="I48" s="46"/>
      <c r="J48" s="46"/>
      <c r="K48" s="46"/>
    </row>
    <row r="49" ht="17" spans="1:11">
      <c r="A49" s="44">
        <v>5</v>
      </c>
      <c r="B49" s="45">
        <f t="shared" si="10"/>
        <v>47072</v>
      </c>
      <c r="C49" s="46">
        <f t="shared" si="8"/>
        <v>55366666.67</v>
      </c>
      <c r="D49" s="46" t="s">
        <v>75</v>
      </c>
      <c r="E49" s="46">
        <f t="shared" si="9"/>
        <v>55366666.67</v>
      </c>
      <c r="F49" s="46" t="s">
        <v>75</v>
      </c>
      <c r="G49" s="46"/>
      <c r="H49" s="46">
        <f t="shared" si="11"/>
        <v>55366666.67</v>
      </c>
      <c r="I49" s="46"/>
      <c r="J49" s="46"/>
      <c r="K49" s="46"/>
    </row>
    <row r="50" ht="17" spans="1:11">
      <c r="A50" s="44">
        <v>6</v>
      </c>
      <c r="B50" s="45">
        <f t="shared" si="10"/>
        <v>47253</v>
      </c>
      <c r="C50" s="46">
        <f t="shared" si="8"/>
        <v>54399305.56</v>
      </c>
      <c r="D50" s="46" t="s">
        <v>76</v>
      </c>
      <c r="E50" s="46">
        <f t="shared" si="9"/>
        <v>54399305.56</v>
      </c>
      <c r="F50" s="46" t="s">
        <v>76</v>
      </c>
      <c r="G50" s="46"/>
      <c r="H50" s="46">
        <f t="shared" si="11"/>
        <v>54399305.56</v>
      </c>
      <c r="I50" s="46"/>
      <c r="J50" s="46"/>
      <c r="K50" s="46"/>
    </row>
    <row r="51" ht="17" spans="1:11">
      <c r="A51" s="44">
        <v>7</v>
      </c>
      <c r="B51" s="45">
        <f t="shared" si="10"/>
        <v>47437</v>
      </c>
      <c r="C51" s="46">
        <f t="shared" si="8"/>
        <v>53577777.78</v>
      </c>
      <c r="D51" s="46" t="s">
        <v>77</v>
      </c>
      <c r="E51" s="46">
        <f t="shared" si="9"/>
        <v>53577777.78</v>
      </c>
      <c r="F51" s="46" t="s">
        <v>77</v>
      </c>
      <c r="G51" s="46"/>
      <c r="H51" s="46">
        <f t="shared" si="11"/>
        <v>53577777.78</v>
      </c>
      <c r="I51" s="46"/>
      <c r="J51" s="46"/>
      <c r="K51" s="46"/>
    </row>
    <row r="52" ht="17" spans="1:11">
      <c r="A52" s="44">
        <v>8</v>
      </c>
      <c r="B52" s="45">
        <f t="shared" si="10"/>
        <v>47618</v>
      </c>
      <c r="C52" s="46">
        <f t="shared" si="8"/>
        <v>52639583.33</v>
      </c>
      <c r="D52" s="46" t="s">
        <v>78</v>
      </c>
      <c r="E52" s="46">
        <f t="shared" si="9"/>
        <v>52639583.33</v>
      </c>
      <c r="F52" s="46" t="s">
        <v>78</v>
      </c>
      <c r="G52" s="46"/>
      <c r="H52" s="46">
        <f t="shared" si="11"/>
        <v>52639583.33</v>
      </c>
      <c r="I52" s="46"/>
      <c r="J52" s="46"/>
      <c r="K52" s="46"/>
    </row>
    <row r="53" ht="17" spans="1:11">
      <c r="A53" s="44">
        <v>9</v>
      </c>
      <c r="B53" s="45">
        <f t="shared" si="10"/>
        <v>47802</v>
      </c>
      <c r="C53" s="46">
        <f t="shared" si="8"/>
        <v>51788888.89</v>
      </c>
      <c r="D53" s="46" t="s">
        <v>79</v>
      </c>
      <c r="E53" s="46">
        <f t="shared" si="9"/>
        <v>51788888.89</v>
      </c>
      <c r="F53" s="46" t="s">
        <v>79</v>
      </c>
      <c r="G53" s="46"/>
      <c r="H53" s="46">
        <f t="shared" si="11"/>
        <v>51788888.89</v>
      </c>
      <c r="I53" s="46"/>
      <c r="J53" s="46"/>
      <c r="K53" s="46"/>
    </row>
    <row r="54" ht="51" spans="1:11">
      <c r="A54" s="44">
        <v>10</v>
      </c>
      <c r="B54" s="45">
        <f t="shared" si="10"/>
        <v>47983</v>
      </c>
      <c r="C54" s="46">
        <f t="shared" si="8"/>
        <v>50879862.11</v>
      </c>
      <c r="D54" s="46" t="s">
        <v>86</v>
      </c>
      <c r="E54" s="46">
        <f t="shared" si="9"/>
        <v>50879862.11</v>
      </c>
      <c r="F54" s="46" t="s">
        <v>87</v>
      </c>
      <c r="G54" s="46"/>
      <c r="H54" s="46">
        <f t="shared" si="11"/>
        <v>50879861.11</v>
      </c>
      <c r="I54" s="46">
        <f>-D6</f>
        <v>0</v>
      </c>
      <c r="J54" s="46">
        <f>B8</f>
        <v>1</v>
      </c>
      <c r="K54" s="46"/>
    </row>
    <row r="55" ht="17" spans="1:11">
      <c r="A55" s="44">
        <v>9</v>
      </c>
      <c r="B55" s="45">
        <f>B36</f>
        <v>47802</v>
      </c>
      <c r="C55" s="46">
        <f t="shared" si="8"/>
        <v>51788888.89</v>
      </c>
      <c r="D55" s="46" t="s">
        <v>79</v>
      </c>
      <c r="E55" s="46">
        <f t="shared" si="9"/>
        <v>51788888.89</v>
      </c>
      <c r="F55" s="46" t="s">
        <v>79</v>
      </c>
      <c r="G55" s="46"/>
      <c r="H55" s="46">
        <f>C36</f>
        <v>51788888.89</v>
      </c>
      <c r="I55" s="46"/>
      <c r="J55" s="46"/>
      <c r="K55" s="46"/>
    </row>
    <row r="56" ht="17" spans="1:11">
      <c r="A56" s="44">
        <v>10</v>
      </c>
      <c r="B56" s="45">
        <f>B37</f>
        <v>47983</v>
      </c>
      <c r="C56" s="46">
        <f t="shared" si="8"/>
        <v>50879861.11</v>
      </c>
      <c r="D56" s="46" t="s">
        <v>88</v>
      </c>
      <c r="E56" s="46">
        <f t="shared" si="9"/>
        <v>50879861.11</v>
      </c>
      <c r="F56" s="46" t="s">
        <v>88</v>
      </c>
      <c r="G56" s="46"/>
      <c r="H56" s="46">
        <f>C37</f>
        <v>50879861.11</v>
      </c>
      <c r="I56" s="46"/>
      <c r="J56" s="46"/>
      <c r="K56" s="46"/>
    </row>
    <row r="57" ht="17" spans="1:11">
      <c r="A57" s="44">
        <v>11</v>
      </c>
      <c r="B57" s="45" t="str">
        <f>B38</f>
        <v>-</v>
      </c>
      <c r="C57" s="46">
        <f t="shared" si="8"/>
        <v>548863888.9</v>
      </c>
      <c r="D57" s="46" t="s">
        <v>89</v>
      </c>
      <c r="E57" s="46">
        <f t="shared" si="9"/>
        <v>548863888.9</v>
      </c>
      <c r="F57" s="46" t="s">
        <v>89</v>
      </c>
      <c r="G57" s="46"/>
      <c r="H57" s="46">
        <f>C38</f>
        <v>548863888.9</v>
      </c>
      <c r="I57" s="46"/>
      <c r="J57" s="46"/>
      <c r="K57" s="46"/>
    </row>
    <row r="58" ht="68" spans="1:11">
      <c r="A58" s="44">
        <v>12</v>
      </c>
      <c r="B58" s="45">
        <f>B39</f>
        <v>0</v>
      </c>
      <c r="C58" s="46">
        <f t="shared" si="8"/>
        <v>1</v>
      </c>
      <c r="D58" s="46" t="s">
        <v>90</v>
      </c>
      <c r="E58" s="46">
        <f t="shared" si="9"/>
        <v>1</v>
      </c>
      <c r="F58" s="46" t="s">
        <v>91</v>
      </c>
      <c r="G58" s="46"/>
      <c r="H58" s="46">
        <f>C39</f>
        <v>0</v>
      </c>
      <c r="I58" s="46">
        <f>-D6</f>
        <v>0</v>
      </c>
      <c r="J58" s="46">
        <f>B8</f>
        <v>1</v>
      </c>
      <c r="K58" s="46"/>
    </row>
    <row r="59" spans="1:11">
      <c r="A59"/>
      <c r="B59"/>
      <c r="C59"/>
      <c r="D59"/>
      <c r="E59"/>
      <c r="F59"/>
      <c r="G59"/>
      <c r="H59"/>
      <c r="I59"/>
    </row>
    <row r="60" spans="1:11">
      <c r="A60"/>
      <c r="B60"/>
      <c r="C60"/>
      <c r="D60"/>
      <c r="E60"/>
      <c r="F60"/>
      <c r="G60"/>
      <c r="H60"/>
      <c r="I60"/>
    </row>
    <row r="61" spans="1:11">
      <c r="A61"/>
      <c r="B61"/>
      <c r="C61"/>
      <c r="D61"/>
      <c r="E61"/>
      <c r="F61"/>
      <c r="G61"/>
      <c r="H61"/>
      <c r="I61"/>
    </row>
    <row r="62" spans="1:11">
      <c r="A62"/>
      <c r="B62"/>
      <c r="C62"/>
      <c r="D62"/>
      <c r="E62"/>
      <c r="F62"/>
      <c r="G62"/>
      <c r="H62"/>
      <c r="I62"/>
    </row>
    <row r="63" spans="1:11">
      <c r="A63"/>
      <c r="B63"/>
      <c r="C63"/>
      <c r="D63"/>
      <c r="E63"/>
      <c r="F63"/>
      <c r="G63"/>
      <c r="H63"/>
      <c r="I63"/>
    </row>
    <row r="64" spans="1:11">
      <c r="A64"/>
      <c r="B64"/>
      <c r="C64"/>
      <c r="D64"/>
      <c r="E64"/>
      <c r="F64"/>
      <c r="G64"/>
      <c r="H64"/>
      <c r="I64"/>
    </row>
    <row r="65" spans="1:9">
      <c r="A65"/>
      <c r="B65"/>
      <c r="C65"/>
      <c r="D65"/>
      <c r="E65"/>
      <c r="F65"/>
      <c r="G65"/>
      <c r="H65"/>
      <c r="I65"/>
    </row>
    <row r="66" spans="1:9">
      <c r="A66"/>
      <c r="B66"/>
      <c r="C66"/>
      <c r="D66"/>
      <c r="E66"/>
      <c r="F66"/>
      <c r="G66"/>
      <c r="H66"/>
      <c r="I66"/>
    </row>
    <row r="67" spans="1:9">
      <c r="A67"/>
      <c r="B67"/>
      <c r="C67"/>
      <c r="D67"/>
      <c r="E67"/>
      <c r="F67"/>
      <c r="G67"/>
      <c r="H67"/>
      <c r="I67"/>
    </row>
    <row r="68" spans="1:9">
      <c r="A68"/>
      <c r="B68"/>
      <c r="C68"/>
      <c r="D68"/>
      <c r="E68"/>
      <c r="F68"/>
      <c r="G68"/>
      <c r="H68"/>
      <c r="I68"/>
    </row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 spans="1:12">
      <c r="A163" s="74">
        <v>136</v>
      </c>
      <c r="B163" s="45">
        <v>50161</v>
      </c>
      <c r="C163" s="46">
        <f t="shared" ref="C163:C226" si="12">ROUND(-PMT($B$5/$B$11,$B$10,$B$4,0),2)</f>
        <v>54937672.08</v>
      </c>
      <c r="D163" s="46" t="e">
        <f t="shared" ref="D163:D226" si="13">ROUND(-PPMT($B$5/$B$11,A163,$B$10,$B$4,0),2)</f>
        <v>#NUM!</v>
      </c>
      <c r="E163" s="46" t="e">
        <f t="shared" ref="E163:E226" si="14">C163-D163</f>
        <v>#NUM!</v>
      </c>
      <c r="F163" s="46" t="e">
        <f t="shared" ref="F163:F226" si="15">D163+F162</f>
        <v>#NUM!</v>
      </c>
      <c r="G163" s="46" t="e">
        <f t="shared" ref="G163:G226" si="16">$B$4-F163</f>
        <v>#NUM!</v>
      </c>
      <c r="H163" s="46">
        <f t="shared" ref="H163:H226" si="17">SUM($C$28:$C$527)-I163</f>
        <v>21794936944.7201</v>
      </c>
      <c r="I163" s="46">
        <f t="shared" ref="I163:I226" si="18">C163+I162</f>
        <v>54937672.08</v>
      </c>
      <c r="J163" s="74">
        <f t="shared" ref="J163:J226" si="19">DATEDIF(B162,B163,"M")</f>
        <v>1648</v>
      </c>
      <c r="K163" s="74"/>
      <c r="L163" s="74"/>
    </row>
    <row r="164" customFormat="1" spans="1:12">
      <c r="A164" s="74">
        <v>137</v>
      </c>
      <c r="B164" s="45">
        <v>50192</v>
      </c>
      <c r="C164" s="46">
        <f t="shared" si="12"/>
        <v>54937672.08</v>
      </c>
      <c r="D164" s="46" t="e">
        <f t="shared" si="13"/>
        <v>#NUM!</v>
      </c>
      <c r="E164" s="46" t="e">
        <f t="shared" si="14"/>
        <v>#NUM!</v>
      </c>
      <c r="F164" s="46" t="e">
        <f t="shared" si="15"/>
        <v>#NUM!</v>
      </c>
      <c r="G164" s="46" t="e">
        <f t="shared" si="16"/>
        <v>#NUM!</v>
      </c>
      <c r="H164" s="46">
        <f t="shared" si="17"/>
        <v>21739999272.6401</v>
      </c>
      <c r="I164" s="46">
        <f t="shared" si="18"/>
        <v>109875344.16</v>
      </c>
      <c r="J164" s="74">
        <f t="shared" si="19"/>
        <v>1</v>
      </c>
      <c r="K164" s="74"/>
      <c r="L164" s="74"/>
    </row>
    <row r="165" customFormat="1" spans="1:12">
      <c r="A165" s="74">
        <v>138</v>
      </c>
      <c r="B165" s="45">
        <v>50222</v>
      </c>
      <c r="C165" s="46">
        <f t="shared" si="12"/>
        <v>54937672.08</v>
      </c>
      <c r="D165" s="46" t="e">
        <f t="shared" si="13"/>
        <v>#NUM!</v>
      </c>
      <c r="E165" s="46" t="e">
        <f t="shared" si="14"/>
        <v>#NUM!</v>
      </c>
      <c r="F165" s="46" t="e">
        <f t="shared" si="15"/>
        <v>#NUM!</v>
      </c>
      <c r="G165" s="46" t="e">
        <f t="shared" si="16"/>
        <v>#NUM!</v>
      </c>
      <c r="H165" s="46">
        <f t="shared" si="17"/>
        <v>21685061600.5601</v>
      </c>
      <c r="I165" s="46">
        <f t="shared" si="18"/>
        <v>164813016.24</v>
      </c>
      <c r="J165" s="74">
        <f t="shared" si="19"/>
        <v>1</v>
      </c>
      <c r="K165" s="74"/>
      <c r="L165" s="74"/>
    </row>
    <row r="166" customFormat="1" spans="1:12">
      <c r="A166" s="74">
        <v>139</v>
      </c>
      <c r="B166" s="45">
        <v>50253</v>
      </c>
      <c r="C166" s="46">
        <f t="shared" si="12"/>
        <v>54937672.08</v>
      </c>
      <c r="D166" s="46" t="e">
        <f t="shared" si="13"/>
        <v>#NUM!</v>
      </c>
      <c r="E166" s="46" t="e">
        <f t="shared" si="14"/>
        <v>#NUM!</v>
      </c>
      <c r="F166" s="46" t="e">
        <f t="shared" si="15"/>
        <v>#NUM!</v>
      </c>
      <c r="G166" s="46" t="e">
        <f t="shared" si="16"/>
        <v>#NUM!</v>
      </c>
      <c r="H166" s="46">
        <f t="shared" si="17"/>
        <v>21630123928.4801</v>
      </c>
      <c r="I166" s="46">
        <f t="shared" si="18"/>
        <v>219750688.32</v>
      </c>
      <c r="J166" s="74">
        <f t="shared" si="19"/>
        <v>1</v>
      </c>
      <c r="K166" s="74"/>
      <c r="L166" s="74"/>
    </row>
    <row r="167" customFormat="1" spans="1:12">
      <c r="A167" s="74">
        <v>140</v>
      </c>
      <c r="B167" s="45">
        <v>50284</v>
      </c>
      <c r="C167" s="46">
        <f t="shared" si="12"/>
        <v>54937672.08</v>
      </c>
      <c r="D167" s="46" t="e">
        <f t="shared" si="13"/>
        <v>#NUM!</v>
      </c>
      <c r="E167" s="46" t="e">
        <f t="shared" si="14"/>
        <v>#NUM!</v>
      </c>
      <c r="F167" s="46" t="e">
        <f t="shared" si="15"/>
        <v>#NUM!</v>
      </c>
      <c r="G167" s="46" t="e">
        <f t="shared" si="16"/>
        <v>#NUM!</v>
      </c>
      <c r="H167" s="46">
        <f t="shared" si="17"/>
        <v>21575186256.4001</v>
      </c>
      <c r="I167" s="46">
        <f t="shared" si="18"/>
        <v>274688360.4</v>
      </c>
      <c r="J167" s="74">
        <f t="shared" si="19"/>
        <v>1</v>
      </c>
      <c r="K167" s="74"/>
      <c r="L167" s="74"/>
    </row>
    <row r="168" customFormat="1" spans="1:12">
      <c r="A168" s="74">
        <v>141</v>
      </c>
      <c r="B168" s="45">
        <v>50314</v>
      </c>
      <c r="C168" s="46">
        <f t="shared" si="12"/>
        <v>54937672.08</v>
      </c>
      <c r="D168" s="46" t="e">
        <f t="shared" si="13"/>
        <v>#NUM!</v>
      </c>
      <c r="E168" s="46" t="e">
        <f t="shared" si="14"/>
        <v>#NUM!</v>
      </c>
      <c r="F168" s="46" t="e">
        <f t="shared" si="15"/>
        <v>#NUM!</v>
      </c>
      <c r="G168" s="46" t="e">
        <f t="shared" si="16"/>
        <v>#NUM!</v>
      </c>
      <c r="H168" s="46">
        <f t="shared" si="17"/>
        <v>21520248584.3201</v>
      </c>
      <c r="I168" s="46">
        <f t="shared" si="18"/>
        <v>329626032.48</v>
      </c>
      <c r="J168" s="74">
        <f t="shared" si="19"/>
        <v>1</v>
      </c>
      <c r="K168" s="74"/>
      <c r="L168" s="74"/>
    </row>
    <row r="169" customFormat="1" spans="1:12">
      <c r="A169" s="74">
        <v>142</v>
      </c>
      <c r="B169" s="45">
        <v>50345</v>
      </c>
      <c r="C169" s="46">
        <f t="shared" si="12"/>
        <v>54937672.08</v>
      </c>
      <c r="D169" s="46" t="e">
        <f t="shared" si="13"/>
        <v>#NUM!</v>
      </c>
      <c r="E169" s="46" t="e">
        <f t="shared" si="14"/>
        <v>#NUM!</v>
      </c>
      <c r="F169" s="46" t="e">
        <f t="shared" si="15"/>
        <v>#NUM!</v>
      </c>
      <c r="G169" s="46" t="e">
        <f t="shared" si="16"/>
        <v>#NUM!</v>
      </c>
      <c r="H169" s="46">
        <f t="shared" si="17"/>
        <v>21465310912.2401</v>
      </c>
      <c r="I169" s="46">
        <f t="shared" si="18"/>
        <v>384563704.56</v>
      </c>
      <c r="J169" s="74">
        <f t="shared" si="19"/>
        <v>1</v>
      </c>
      <c r="K169" s="74"/>
      <c r="L169" s="74"/>
    </row>
    <row r="170" customFormat="1" spans="1:12">
      <c r="A170" s="74">
        <v>143</v>
      </c>
      <c r="B170" s="45">
        <v>50375</v>
      </c>
      <c r="C170" s="46">
        <f t="shared" si="12"/>
        <v>54937672.08</v>
      </c>
      <c r="D170" s="46" t="e">
        <f t="shared" si="13"/>
        <v>#NUM!</v>
      </c>
      <c r="E170" s="46" t="e">
        <f t="shared" si="14"/>
        <v>#NUM!</v>
      </c>
      <c r="F170" s="46" t="e">
        <f t="shared" si="15"/>
        <v>#NUM!</v>
      </c>
      <c r="G170" s="46" t="e">
        <f t="shared" si="16"/>
        <v>#NUM!</v>
      </c>
      <c r="H170" s="46">
        <f t="shared" si="17"/>
        <v>21410373240.1601</v>
      </c>
      <c r="I170" s="46">
        <f t="shared" si="18"/>
        <v>439501376.64</v>
      </c>
      <c r="J170" s="74">
        <f t="shared" si="19"/>
        <v>1</v>
      </c>
      <c r="K170" s="74"/>
      <c r="L170" s="74"/>
    </row>
    <row r="171" customFormat="1" spans="1:12">
      <c r="A171" s="74">
        <v>144</v>
      </c>
      <c r="B171" s="45">
        <v>50406</v>
      </c>
      <c r="C171" s="46">
        <f t="shared" si="12"/>
        <v>54937672.08</v>
      </c>
      <c r="D171" s="46" t="e">
        <f t="shared" si="13"/>
        <v>#NUM!</v>
      </c>
      <c r="E171" s="46" t="e">
        <f t="shared" si="14"/>
        <v>#NUM!</v>
      </c>
      <c r="F171" s="46" t="e">
        <f t="shared" si="15"/>
        <v>#NUM!</v>
      </c>
      <c r="G171" s="46" t="e">
        <f t="shared" si="16"/>
        <v>#NUM!</v>
      </c>
      <c r="H171" s="46">
        <f t="shared" si="17"/>
        <v>21355435568.0801</v>
      </c>
      <c r="I171" s="46">
        <f t="shared" si="18"/>
        <v>494439048.72</v>
      </c>
      <c r="J171" s="74">
        <f t="shared" si="19"/>
        <v>1</v>
      </c>
      <c r="K171" s="74"/>
      <c r="L171" s="74"/>
    </row>
    <row r="172" customFormat="1" spans="1:12">
      <c r="A172" s="74">
        <v>145</v>
      </c>
      <c r="B172" s="45">
        <v>50437</v>
      </c>
      <c r="C172" s="46">
        <f t="shared" si="12"/>
        <v>54937672.08</v>
      </c>
      <c r="D172" s="46" t="e">
        <f t="shared" si="13"/>
        <v>#NUM!</v>
      </c>
      <c r="E172" s="46" t="e">
        <f t="shared" si="14"/>
        <v>#NUM!</v>
      </c>
      <c r="F172" s="46" t="e">
        <f t="shared" si="15"/>
        <v>#NUM!</v>
      </c>
      <c r="G172" s="46" t="e">
        <f t="shared" si="16"/>
        <v>#NUM!</v>
      </c>
      <c r="H172" s="46">
        <f t="shared" si="17"/>
        <v>21300497896.0001</v>
      </c>
      <c r="I172" s="46">
        <f t="shared" si="18"/>
        <v>549376720.8</v>
      </c>
      <c r="J172" s="74">
        <f t="shared" si="19"/>
        <v>1</v>
      </c>
      <c r="K172" s="74"/>
      <c r="L172" s="74"/>
    </row>
    <row r="173" customFormat="1" spans="1:12">
      <c r="A173" s="74">
        <v>146</v>
      </c>
      <c r="B173" s="45">
        <v>50465</v>
      </c>
      <c r="C173" s="46">
        <f t="shared" si="12"/>
        <v>54937672.08</v>
      </c>
      <c r="D173" s="46" t="e">
        <f t="shared" si="13"/>
        <v>#NUM!</v>
      </c>
      <c r="E173" s="46" t="e">
        <f t="shared" si="14"/>
        <v>#NUM!</v>
      </c>
      <c r="F173" s="46" t="e">
        <f t="shared" si="15"/>
        <v>#NUM!</v>
      </c>
      <c r="G173" s="46" t="e">
        <f t="shared" si="16"/>
        <v>#NUM!</v>
      </c>
      <c r="H173" s="46">
        <f t="shared" si="17"/>
        <v>21245560223.9201</v>
      </c>
      <c r="I173" s="46">
        <f t="shared" si="18"/>
        <v>604314392.88</v>
      </c>
      <c r="J173" s="74">
        <f t="shared" si="19"/>
        <v>1</v>
      </c>
      <c r="K173" s="74"/>
      <c r="L173" s="74"/>
    </row>
    <row r="174" customFormat="1" spans="1:12">
      <c r="A174" s="74">
        <v>147</v>
      </c>
      <c r="B174" s="45">
        <v>50496</v>
      </c>
      <c r="C174" s="46">
        <f t="shared" si="12"/>
        <v>54937672.08</v>
      </c>
      <c r="D174" s="46" t="e">
        <f t="shared" si="13"/>
        <v>#NUM!</v>
      </c>
      <c r="E174" s="46" t="e">
        <f t="shared" si="14"/>
        <v>#NUM!</v>
      </c>
      <c r="F174" s="46" t="e">
        <f t="shared" si="15"/>
        <v>#NUM!</v>
      </c>
      <c r="G174" s="46" t="e">
        <f t="shared" si="16"/>
        <v>#NUM!</v>
      </c>
      <c r="H174" s="46">
        <f t="shared" si="17"/>
        <v>21190622551.8401</v>
      </c>
      <c r="I174" s="46">
        <f t="shared" si="18"/>
        <v>659252064.96</v>
      </c>
      <c r="J174" s="74">
        <f t="shared" si="19"/>
        <v>1</v>
      </c>
      <c r="K174" s="74"/>
      <c r="L174" s="74"/>
    </row>
    <row r="175" customFormat="1" spans="1:12">
      <c r="A175" s="74">
        <v>148</v>
      </c>
      <c r="B175" s="45">
        <v>50526</v>
      </c>
      <c r="C175" s="46">
        <f t="shared" si="12"/>
        <v>54937672.08</v>
      </c>
      <c r="D175" s="46" t="e">
        <f t="shared" si="13"/>
        <v>#NUM!</v>
      </c>
      <c r="E175" s="46" t="e">
        <f t="shared" si="14"/>
        <v>#NUM!</v>
      </c>
      <c r="F175" s="46" t="e">
        <f t="shared" si="15"/>
        <v>#NUM!</v>
      </c>
      <c r="G175" s="46" t="e">
        <f t="shared" si="16"/>
        <v>#NUM!</v>
      </c>
      <c r="H175" s="46">
        <f t="shared" si="17"/>
        <v>21135684879.7601</v>
      </c>
      <c r="I175" s="46">
        <f t="shared" si="18"/>
        <v>714189737.04</v>
      </c>
      <c r="J175" s="74">
        <f t="shared" si="19"/>
        <v>1</v>
      </c>
      <c r="K175" s="74"/>
      <c r="L175" s="74"/>
    </row>
    <row r="176" customFormat="1" spans="1:12">
      <c r="A176" s="74">
        <v>149</v>
      </c>
      <c r="B176" s="45">
        <v>50557</v>
      </c>
      <c r="C176" s="46">
        <f t="shared" si="12"/>
        <v>54937672.08</v>
      </c>
      <c r="D176" s="46" t="e">
        <f t="shared" si="13"/>
        <v>#NUM!</v>
      </c>
      <c r="E176" s="46" t="e">
        <f t="shared" si="14"/>
        <v>#NUM!</v>
      </c>
      <c r="F176" s="46" t="e">
        <f t="shared" si="15"/>
        <v>#NUM!</v>
      </c>
      <c r="G176" s="46" t="e">
        <f t="shared" si="16"/>
        <v>#NUM!</v>
      </c>
      <c r="H176" s="46">
        <f t="shared" si="17"/>
        <v>21080747207.6801</v>
      </c>
      <c r="I176" s="46">
        <f t="shared" si="18"/>
        <v>769127409.12</v>
      </c>
      <c r="J176" s="74">
        <f t="shared" si="19"/>
        <v>1</v>
      </c>
      <c r="K176" s="74"/>
      <c r="L176" s="74"/>
    </row>
    <row r="177" customFormat="1" spans="1:12">
      <c r="A177" s="74">
        <v>150</v>
      </c>
      <c r="B177" s="45">
        <v>50587</v>
      </c>
      <c r="C177" s="46">
        <f t="shared" si="12"/>
        <v>54937672.08</v>
      </c>
      <c r="D177" s="46" t="e">
        <f t="shared" si="13"/>
        <v>#NUM!</v>
      </c>
      <c r="E177" s="46" t="e">
        <f t="shared" si="14"/>
        <v>#NUM!</v>
      </c>
      <c r="F177" s="46" t="e">
        <f t="shared" si="15"/>
        <v>#NUM!</v>
      </c>
      <c r="G177" s="46" t="e">
        <f t="shared" si="16"/>
        <v>#NUM!</v>
      </c>
      <c r="H177" s="46">
        <f t="shared" si="17"/>
        <v>21025809535.6001</v>
      </c>
      <c r="I177" s="46">
        <f t="shared" si="18"/>
        <v>824065081.2</v>
      </c>
      <c r="J177" s="74">
        <f t="shared" si="19"/>
        <v>1</v>
      </c>
      <c r="K177" s="74"/>
      <c r="L177" s="74"/>
    </row>
    <row r="178" customFormat="1" spans="1:12">
      <c r="A178" s="74">
        <v>151</v>
      </c>
      <c r="B178" s="45">
        <v>50618</v>
      </c>
      <c r="C178" s="46">
        <f t="shared" si="12"/>
        <v>54937672.08</v>
      </c>
      <c r="D178" s="46" t="e">
        <f t="shared" si="13"/>
        <v>#NUM!</v>
      </c>
      <c r="E178" s="46" t="e">
        <f t="shared" si="14"/>
        <v>#NUM!</v>
      </c>
      <c r="F178" s="46" t="e">
        <f t="shared" si="15"/>
        <v>#NUM!</v>
      </c>
      <c r="G178" s="46" t="e">
        <f t="shared" si="16"/>
        <v>#NUM!</v>
      </c>
      <c r="H178" s="46">
        <f t="shared" si="17"/>
        <v>20970871863.5201</v>
      </c>
      <c r="I178" s="46">
        <f t="shared" si="18"/>
        <v>879002753.28</v>
      </c>
      <c r="J178" s="74">
        <f t="shared" si="19"/>
        <v>1</v>
      </c>
      <c r="K178" s="74"/>
      <c r="L178" s="74"/>
    </row>
    <row r="179" customFormat="1" spans="1:12">
      <c r="A179" s="74">
        <v>152</v>
      </c>
      <c r="B179" s="45">
        <v>50649</v>
      </c>
      <c r="C179" s="46">
        <f t="shared" si="12"/>
        <v>54937672.08</v>
      </c>
      <c r="D179" s="46" t="e">
        <f t="shared" si="13"/>
        <v>#NUM!</v>
      </c>
      <c r="E179" s="46" t="e">
        <f t="shared" si="14"/>
        <v>#NUM!</v>
      </c>
      <c r="F179" s="46" t="e">
        <f t="shared" si="15"/>
        <v>#NUM!</v>
      </c>
      <c r="G179" s="46" t="e">
        <f t="shared" si="16"/>
        <v>#NUM!</v>
      </c>
      <c r="H179" s="46">
        <f t="shared" si="17"/>
        <v>20915934191.4401</v>
      </c>
      <c r="I179" s="46">
        <f t="shared" si="18"/>
        <v>933940425.36</v>
      </c>
      <c r="J179" s="74">
        <f t="shared" si="19"/>
        <v>1</v>
      </c>
      <c r="K179" s="74"/>
      <c r="L179" s="74"/>
    </row>
    <row r="180" customFormat="1" spans="1:12">
      <c r="A180" s="74">
        <v>153</v>
      </c>
      <c r="B180" s="45">
        <v>50679</v>
      </c>
      <c r="C180" s="46">
        <f t="shared" si="12"/>
        <v>54937672.08</v>
      </c>
      <c r="D180" s="46" t="e">
        <f t="shared" si="13"/>
        <v>#NUM!</v>
      </c>
      <c r="E180" s="46" t="e">
        <f t="shared" si="14"/>
        <v>#NUM!</v>
      </c>
      <c r="F180" s="46" t="e">
        <f t="shared" si="15"/>
        <v>#NUM!</v>
      </c>
      <c r="G180" s="46" t="e">
        <f t="shared" si="16"/>
        <v>#NUM!</v>
      </c>
      <c r="H180" s="46">
        <f t="shared" si="17"/>
        <v>20860996519.3601</v>
      </c>
      <c r="I180" s="46">
        <f t="shared" si="18"/>
        <v>988878097.44</v>
      </c>
      <c r="J180" s="74">
        <f t="shared" si="19"/>
        <v>1</v>
      </c>
      <c r="K180" s="74"/>
      <c r="L180" s="74"/>
    </row>
    <row r="181" customFormat="1" spans="1:12">
      <c r="A181" s="74">
        <v>154</v>
      </c>
      <c r="B181" s="45">
        <v>50710</v>
      </c>
      <c r="C181" s="46">
        <f t="shared" si="12"/>
        <v>54937672.08</v>
      </c>
      <c r="D181" s="46" t="e">
        <f t="shared" si="13"/>
        <v>#NUM!</v>
      </c>
      <c r="E181" s="46" t="e">
        <f t="shared" si="14"/>
        <v>#NUM!</v>
      </c>
      <c r="F181" s="46" t="e">
        <f t="shared" si="15"/>
        <v>#NUM!</v>
      </c>
      <c r="G181" s="46" t="e">
        <f t="shared" si="16"/>
        <v>#NUM!</v>
      </c>
      <c r="H181" s="46">
        <f t="shared" si="17"/>
        <v>20806058847.2801</v>
      </c>
      <c r="I181" s="46">
        <f t="shared" si="18"/>
        <v>1043815769.52</v>
      </c>
      <c r="J181" s="74">
        <f t="shared" si="19"/>
        <v>1</v>
      </c>
      <c r="K181" s="74"/>
      <c r="L181" s="74"/>
    </row>
    <row r="182" customFormat="1" spans="1:12">
      <c r="A182" s="74">
        <v>155</v>
      </c>
      <c r="B182" s="45">
        <v>50740</v>
      </c>
      <c r="C182" s="46">
        <f t="shared" si="12"/>
        <v>54937672.08</v>
      </c>
      <c r="D182" s="46" t="e">
        <f t="shared" si="13"/>
        <v>#NUM!</v>
      </c>
      <c r="E182" s="46" t="e">
        <f t="shared" si="14"/>
        <v>#NUM!</v>
      </c>
      <c r="F182" s="46" t="e">
        <f t="shared" si="15"/>
        <v>#NUM!</v>
      </c>
      <c r="G182" s="46" t="e">
        <f t="shared" si="16"/>
        <v>#NUM!</v>
      </c>
      <c r="H182" s="46">
        <f t="shared" si="17"/>
        <v>20751121175.2001</v>
      </c>
      <c r="I182" s="46">
        <f t="shared" si="18"/>
        <v>1098753441.6</v>
      </c>
      <c r="J182" s="74">
        <f t="shared" si="19"/>
        <v>1</v>
      </c>
      <c r="K182" s="74"/>
      <c r="L182" s="74"/>
    </row>
    <row r="183" customFormat="1" spans="1:12">
      <c r="A183" s="74">
        <v>156</v>
      </c>
      <c r="B183" s="45">
        <v>50771</v>
      </c>
      <c r="C183" s="46">
        <f t="shared" si="12"/>
        <v>54937672.08</v>
      </c>
      <c r="D183" s="46" t="e">
        <f t="shared" si="13"/>
        <v>#NUM!</v>
      </c>
      <c r="E183" s="46" t="e">
        <f t="shared" si="14"/>
        <v>#NUM!</v>
      </c>
      <c r="F183" s="46" t="e">
        <f t="shared" si="15"/>
        <v>#NUM!</v>
      </c>
      <c r="G183" s="46" t="e">
        <f t="shared" si="16"/>
        <v>#NUM!</v>
      </c>
      <c r="H183" s="46">
        <f t="shared" si="17"/>
        <v>20696183503.1201</v>
      </c>
      <c r="I183" s="46">
        <f t="shared" si="18"/>
        <v>1153691113.68</v>
      </c>
      <c r="J183" s="74">
        <f t="shared" si="19"/>
        <v>1</v>
      </c>
      <c r="K183" s="74"/>
      <c r="L183" s="74"/>
    </row>
    <row r="184" customFormat="1" spans="1:12">
      <c r="A184" s="74">
        <v>157</v>
      </c>
      <c r="B184" s="45">
        <v>50802</v>
      </c>
      <c r="C184" s="46">
        <f t="shared" si="12"/>
        <v>54937672.08</v>
      </c>
      <c r="D184" s="46" t="e">
        <f t="shared" si="13"/>
        <v>#NUM!</v>
      </c>
      <c r="E184" s="46" t="e">
        <f t="shared" si="14"/>
        <v>#NUM!</v>
      </c>
      <c r="F184" s="46" t="e">
        <f t="shared" si="15"/>
        <v>#NUM!</v>
      </c>
      <c r="G184" s="46" t="e">
        <f t="shared" si="16"/>
        <v>#NUM!</v>
      </c>
      <c r="H184" s="46">
        <f t="shared" si="17"/>
        <v>20641245831.0401</v>
      </c>
      <c r="I184" s="46">
        <f t="shared" si="18"/>
        <v>1208628785.76</v>
      </c>
      <c r="J184" s="74">
        <f t="shared" si="19"/>
        <v>1</v>
      </c>
      <c r="K184" s="74"/>
      <c r="L184" s="74"/>
    </row>
    <row r="185" customFormat="1" spans="1:12">
      <c r="A185" s="74">
        <v>158</v>
      </c>
      <c r="B185" s="45">
        <v>50830</v>
      </c>
      <c r="C185" s="46">
        <f t="shared" si="12"/>
        <v>54937672.08</v>
      </c>
      <c r="D185" s="46" t="e">
        <f t="shared" si="13"/>
        <v>#NUM!</v>
      </c>
      <c r="E185" s="46" t="e">
        <f t="shared" si="14"/>
        <v>#NUM!</v>
      </c>
      <c r="F185" s="46" t="e">
        <f t="shared" si="15"/>
        <v>#NUM!</v>
      </c>
      <c r="G185" s="46" t="e">
        <f t="shared" si="16"/>
        <v>#NUM!</v>
      </c>
      <c r="H185" s="46">
        <f t="shared" si="17"/>
        <v>20586308158.9601</v>
      </c>
      <c r="I185" s="46">
        <f t="shared" si="18"/>
        <v>1263566457.84</v>
      </c>
      <c r="J185" s="74">
        <f t="shared" si="19"/>
        <v>1</v>
      </c>
      <c r="K185" s="74"/>
      <c r="L185" s="74"/>
    </row>
    <row r="186" customFormat="1" spans="1:12">
      <c r="A186" s="74">
        <v>159</v>
      </c>
      <c r="B186" s="45">
        <v>50861</v>
      </c>
      <c r="C186" s="46">
        <f t="shared" si="12"/>
        <v>54937672.08</v>
      </c>
      <c r="D186" s="46" t="e">
        <f t="shared" si="13"/>
        <v>#NUM!</v>
      </c>
      <c r="E186" s="46" t="e">
        <f t="shared" si="14"/>
        <v>#NUM!</v>
      </c>
      <c r="F186" s="46" t="e">
        <f t="shared" si="15"/>
        <v>#NUM!</v>
      </c>
      <c r="G186" s="46" t="e">
        <f t="shared" si="16"/>
        <v>#NUM!</v>
      </c>
      <c r="H186" s="46">
        <f t="shared" si="17"/>
        <v>20531370486.8801</v>
      </c>
      <c r="I186" s="46">
        <f t="shared" si="18"/>
        <v>1318504129.92</v>
      </c>
      <c r="J186" s="74">
        <f t="shared" si="19"/>
        <v>1</v>
      </c>
      <c r="K186" s="74"/>
      <c r="L186" s="74"/>
    </row>
    <row r="187" customFormat="1" spans="1:12">
      <c r="A187" s="74">
        <v>160</v>
      </c>
      <c r="B187" s="45">
        <v>50891</v>
      </c>
      <c r="C187" s="46">
        <f t="shared" si="12"/>
        <v>54937672.08</v>
      </c>
      <c r="D187" s="46" t="e">
        <f t="shared" si="13"/>
        <v>#NUM!</v>
      </c>
      <c r="E187" s="46" t="e">
        <f t="shared" si="14"/>
        <v>#NUM!</v>
      </c>
      <c r="F187" s="46" t="e">
        <f t="shared" si="15"/>
        <v>#NUM!</v>
      </c>
      <c r="G187" s="46" t="e">
        <f t="shared" si="16"/>
        <v>#NUM!</v>
      </c>
      <c r="H187" s="46">
        <f t="shared" si="17"/>
        <v>20476432814.8001</v>
      </c>
      <c r="I187" s="46">
        <f t="shared" si="18"/>
        <v>1373441802</v>
      </c>
      <c r="J187" s="74">
        <f t="shared" si="19"/>
        <v>1</v>
      </c>
      <c r="K187" s="74"/>
      <c r="L187" s="74"/>
    </row>
    <row r="188" customFormat="1" spans="1:12">
      <c r="A188" s="74">
        <v>161</v>
      </c>
      <c r="B188" s="45">
        <v>50922</v>
      </c>
      <c r="C188" s="46">
        <f t="shared" si="12"/>
        <v>54937672.08</v>
      </c>
      <c r="D188" s="46" t="e">
        <f t="shared" si="13"/>
        <v>#NUM!</v>
      </c>
      <c r="E188" s="46" t="e">
        <f t="shared" si="14"/>
        <v>#NUM!</v>
      </c>
      <c r="F188" s="46" t="e">
        <f t="shared" si="15"/>
        <v>#NUM!</v>
      </c>
      <c r="G188" s="46" t="e">
        <f t="shared" si="16"/>
        <v>#NUM!</v>
      </c>
      <c r="H188" s="46">
        <f t="shared" si="17"/>
        <v>20421495142.7201</v>
      </c>
      <c r="I188" s="46">
        <f t="shared" si="18"/>
        <v>1428379474.08</v>
      </c>
      <c r="J188" s="74">
        <f t="shared" si="19"/>
        <v>1</v>
      </c>
      <c r="K188" s="74"/>
      <c r="L188" s="74"/>
    </row>
    <row r="189" customFormat="1" spans="1:12">
      <c r="A189" s="74">
        <v>162</v>
      </c>
      <c r="B189" s="45">
        <v>50952</v>
      </c>
      <c r="C189" s="46">
        <f t="shared" si="12"/>
        <v>54937672.08</v>
      </c>
      <c r="D189" s="46" t="e">
        <f t="shared" si="13"/>
        <v>#NUM!</v>
      </c>
      <c r="E189" s="46" t="e">
        <f t="shared" si="14"/>
        <v>#NUM!</v>
      </c>
      <c r="F189" s="46" t="e">
        <f t="shared" si="15"/>
        <v>#NUM!</v>
      </c>
      <c r="G189" s="46" t="e">
        <f t="shared" si="16"/>
        <v>#NUM!</v>
      </c>
      <c r="H189" s="46">
        <f t="shared" si="17"/>
        <v>20366557470.6401</v>
      </c>
      <c r="I189" s="46">
        <f t="shared" si="18"/>
        <v>1483317146.16</v>
      </c>
      <c r="J189" s="74">
        <f t="shared" si="19"/>
        <v>1</v>
      </c>
      <c r="K189" s="74"/>
      <c r="L189" s="74"/>
    </row>
    <row r="190" customFormat="1" spans="1:12">
      <c r="A190" s="74">
        <v>163</v>
      </c>
      <c r="B190" s="45">
        <v>50983</v>
      </c>
      <c r="C190" s="46">
        <f t="shared" si="12"/>
        <v>54937672.08</v>
      </c>
      <c r="D190" s="46" t="e">
        <f t="shared" si="13"/>
        <v>#NUM!</v>
      </c>
      <c r="E190" s="46" t="e">
        <f t="shared" si="14"/>
        <v>#NUM!</v>
      </c>
      <c r="F190" s="46" t="e">
        <f t="shared" si="15"/>
        <v>#NUM!</v>
      </c>
      <c r="G190" s="46" t="e">
        <f t="shared" si="16"/>
        <v>#NUM!</v>
      </c>
      <c r="H190" s="46">
        <f t="shared" si="17"/>
        <v>20311619798.5601</v>
      </c>
      <c r="I190" s="46">
        <f t="shared" si="18"/>
        <v>1538254818.24</v>
      </c>
      <c r="J190" s="74">
        <f t="shared" si="19"/>
        <v>1</v>
      </c>
      <c r="K190" s="74"/>
      <c r="L190" s="74"/>
    </row>
    <row r="191" customFormat="1" spans="1:12">
      <c r="A191" s="74">
        <v>164</v>
      </c>
      <c r="B191" s="45">
        <v>51014</v>
      </c>
      <c r="C191" s="46">
        <f t="shared" si="12"/>
        <v>54937672.08</v>
      </c>
      <c r="D191" s="46" t="e">
        <f t="shared" si="13"/>
        <v>#NUM!</v>
      </c>
      <c r="E191" s="46" t="e">
        <f t="shared" si="14"/>
        <v>#NUM!</v>
      </c>
      <c r="F191" s="46" t="e">
        <f t="shared" si="15"/>
        <v>#NUM!</v>
      </c>
      <c r="G191" s="46" t="e">
        <f t="shared" si="16"/>
        <v>#NUM!</v>
      </c>
      <c r="H191" s="46">
        <f t="shared" si="17"/>
        <v>20256682126.4801</v>
      </c>
      <c r="I191" s="46">
        <f t="shared" si="18"/>
        <v>1593192490.32</v>
      </c>
      <c r="J191" s="74">
        <f t="shared" si="19"/>
        <v>1</v>
      </c>
      <c r="K191" s="74"/>
      <c r="L191" s="74"/>
    </row>
    <row r="192" customFormat="1" spans="1:12">
      <c r="A192" s="74">
        <v>165</v>
      </c>
      <c r="B192" s="45">
        <v>51044</v>
      </c>
      <c r="C192" s="46">
        <f t="shared" si="12"/>
        <v>54937672.08</v>
      </c>
      <c r="D192" s="46" t="e">
        <f t="shared" si="13"/>
        <v>#NUM!</v>
      </c>
      <c r="E192" s="46" t="e">
        <f t="shared" si="14"/>
        <v>#NUM!</v>
      </c>
      <c r="F192" s="46" t="e">
        <f t="shared" si="15"/>
        <v>#NUM!</v>
      </c>
      <c r="G192" s="46" t="e">
        <f t="shared" si="16"/>
        <v>#NUM!</v>
      </c>
      <c r="H192" s="46">
        <f t="shared" si="17"/>
        <v>20201744454.4001</v>
      </c>
      <c r="I192" s="46">
        <f t="shared" si="18"/>
        <v>1648130162.4</v>
      </c>
      <c r="J192" s="74">
        <f t="shared" si="19"/>
        <v>1</v>
      </c>
      <c r="K192" s="74"/>
      <c r="L192" s="74"/>
    </row>
    <row r="193" customFormat="1" spans="1:12">
      <c r="A193" s="74">
        <v>166</v>
      </c>
      <c r="B193" s="45">
        <v>51075</v>
      </c>
      <c r="C193" s="46">
        <f t="shared" si="12"/>
        <v>54937672.08</v>
      </c>
      <c r="D193" s="46" t="e">
        <f t="shared" si="13"/>
        <v>#NUM!</v>
      </c>
      <c r="E193" s="46" t="e">
        <f t="shared" si="14"/>
        <v>#NUM!</v>
      </c>
      <c r="F193" s="46" t="e">
        <f t="shared" si="15"/>
        <v>#NUM!</v>
      </c>
      <c r="G193" s="46" t="e">
        <f t="shared" si="16"/>
        <v>#NUM!</v>
      </c>
      <c r="H193" s="46">
        <f t="shared" si="17"/>
        <v>20146806782.3201</v>
      </c>
      <c r="I193" s="46">
        <f t="shared" si="18"/>
        <v>1703067834.48</v>
      </c>
      <c r="J193" s="74">
        <f t="shared" si="19"/>
        <v>1</v>
      </c>
      <c r="K193" s="74"/>
      <c r="L193" s="74"/>
    </row>
    <row r="194" customFormat="1" spans="1:12">
      <c r="A194" s="74">
        <v>167</v>
      </c>
      <c r="B194" s="45">
        <v>51105</v>
      </c>
      <c r="C194" s="46">
        <f t="shared" si="12"/>
        <v>54937672.08</v>
      </c>
      <c r="D194" s="46" t="e">
        <f t="shared" si="13"/>
        <v>#NUM!</v>
      </c>
      <c r="E194" s="46" t="e">
        <f t="shared" si="14"/>
        <v>#NUM!</v>
      </c>
      <c r="F194" s="46" t="e">
        <f t="shared" si="15"/>
        <v>#NUM!</v>
      </c>
      <c r="G194" s="46" t="e">
        <f t="shared" si="16"/>
        <v>#NUM!</v>
      </c>
      <c r="H194" s="46">
        <f t="shared" si="17"/>
        <v>20091869110.2401</v>
      </c>
      <c r="I194" s="46">
        <f t="shared" si="18"/>
        <v>1758005506.56</v>
      </c>
      <c r="J194" s="74">
        <f t="shared" si="19"/>
        <v>1</v>
      </c>
      <c r="K194" s="74"/>
      <c r="L194" s="74"/>
    </row>
    <row r="195" customFormat="1" spans="1:12">
      <c r="A195" s="74">
        <v>168</v>
      </c>
      <c r="B195" s="45">
        <v>51136</v>
      </c>
      <c r="C195" s="46">
        <f t="shared" si="12"/>
        <v>54937672.08</v>
      </c>
      <c r="D195" s="46" t="e">
        <f t="shared" si="13"/>
        <v>#NUM!</v>
      </c>
      <c r="E195" s="46" t="e">
        <f t="shared" si="14"/>
        <v>#NUM!</v>
      </c>
      <c r="F195" s="46" t="e">
        <f t="shared" si="15"/>
        <v>#NUM!</v>
      </c>
      <c r="G195" s="46" t="e">
        <f t="shared" si="16"/>
        <v>#NUM!</v>
      </c>
      <c r="H195" s="46">
        <f t="shared" si="17"/>
        <v>20036931438.1601</v>
      </c>
      <c r="I195" s="46">
        <f t="shared" si="18"/>
        <v>1812943178.64</v>
      </c>
      <c r="J195" s="74">
        <f t="shared" si="19"/>
        <v>1</v>
      </c>
      <c r="K195" s="74"/>
      <c r="L195" s="74"/>
    </row>
    <row r="196" customFormat="1" spans="1:12">
      <c r="A196" s="74">
        <v>169</v>
      </c>
      <c r="B196" s="45">
        <v>51167</v>
      </c>
      <c r="C196" s="46">
        <f t="shared" si="12"/>
        <v>54937672.08</v>
      </c>
      <c r="D196" s="46" t="e">
        <f t="shared" si="13"/>
        <v>#NUM!</v>
      </c>
      <c r="E196" s="46" t="e">
        <f t="shared" si="14"/>
        <v>#NUM!</v>
      </c>
      <c r="F196" s="46" t="e">
        <f t="shared" si="15"/>
        <v>#NUM!</v>
      </c>
      <c r="G196" s="46" t="e">
        <f t="shared" si="16"/>
        <v>#NUM!</v>
      </c>
      <c r="H196" s="46">
        <f t="shared" si="17"/>
        <v>19981993766.0801</v>
      </c>
      <c r="I196" s="46">
        <f t="shared" si="18"/>
        <v>1867880850.72</v>
      </c>
      <c r="J196" s="74">
        <f t="shared" si="19"/>
        <v>1</v>
      </c>
      <c r="K196" s="74"/>
      <c r="L196" s="74"/>
    </row>
    <row r="197" customFormat="1" spans="1:12">
      <c r="A197" s="74">
        <v>170</v>
      </c>
      <c r="B197" s="45">
        <v>51196</v>
      </c>
      <c r="C197" s="46">
        <f t="shared" si="12"/>
        <v>54937672.08</v>
      </c>
      <c r="D197" s="46" t="e">
        <f t="shared" si="13"/>
        <v>#NUM!</v>
      </c>
      <c r="E197" s="46" t="e">
        <f t="shared" si="14"/>
        <v>#NUM!</v>
      </c>
      <c r="F197" s="46" t="e">
        <f t="shared" si="15"/>
        <v>#NUM!</v>
      </c>
      <c r="G197" s="46" t="e">
        <f t="shared" si="16"/>
        <v>#NUM!</v>
      </c>
      <c r="H197" s="46">
        <f t="shared" si="17"/>
        <v>19927056094.0001</v>
      </c>
      <c r="I197" s="46">
        <f t="shared" si="18"/>
        <v>1922818522.8</v>
      </c>
      <c r="J197" s="74">
        <f t="shared" si="19"/>
        <v>1</v>
      </c>
      <c r="K197" s="74"/>
      <c r="L197" s="74"/>
    </row>
    <row r="198" customFormat="1" spans="1:12">
      <c r="A198" s="74">
        <v>171</v>
      </c>
      <c r="B198" s="45">
        <v>51227</v>
      </c>
      <c r="C198" s="46">
        <f t="shared" si="12"/>
        <v>54937672.08</v>
      </c>
      <c r="D198" s="46" t="e">
        <f t="shared" si="13"/>
        <v>#NUM!</v>
      </c>
      <c r="E198" s="46" t="e">
        <f t="shared" si="14"/>
        <v>#NUM!</v>
      </c>
      <c r="F198" s="46" t="e">
        <f t="shared" si="15"/>
        <v>#NUM!</v>
      </c>
      <c r="G198" s="46" t="e">
        <f t="shared" si="16"/>
        <v>#NUM!</v>
      </c>
      <c r="H198" s="46">
        <f t="shared" si="17"/>
        <v>19872118421.9201</v>
      </c>
      <c r="I198" s="46">
        <f t="shared" si="18"/>
        <v>1977756194.88</v>
      </c>
      <c r="J198" s="74">
        <f t="shared" si="19"/>
        <v>1</v>
      </c>
      <c r="K198" s="74"/>
      <c r="L198" s="74"/>
    </row>
    <row r="199" customFormat="1" spans="1:12">
      <c r="A199" s="74">
        <v>172</v>
      </c>
      <c r="B199" s="45">
        <v>51257</v>
      </c>
      <c r="C199" s="46">
        <f t="shared" si="12"/>
        <v>54937672.08</v>
      </c>
      <c r="D199" s="46" t="e">
        <f t="shared" si="13"/>
        <v>#NUM!</v>
      </c>
      <c r="E199" s="46" t="e">
        <f t="shared" si="14"/>
        <v>#NUM!</v>
      </c>
      <c r="F199" s="46" t="e">
        <f t="shared" si="15"/>
        <v>#NUM!</v>
      </c>
      <c r="G199" s="46" t="e">
        <f t="shared" si="16"/>
        <v>#NUM!</v>
      </c>
      <c r="H199" s="46">
        <f t="shared" si="17"/>
        <v>19817180749.8401</v>
      </c>
      <c r="I199" s="46">
        <f t="shared" si="18"/>
        <v>2032693866.96</v>
      </c>
      <c r="J199" s="74">
        <f t="shared" si="19"/>
        <v>1</v>
      </c>
      <c r="K199" s="74"/>
      <c r="L199" s="74"/>
    </row>
    <row r="200" customFormat="1" spans="1:12">
      <c r="A200" s="74">
        <v>173</v>
      </c>
      <c r="B200" s="45">
        <v>51288</v>
      </c>
      <c r="C200" s="46">
        <f t="shared" si="12"/>
        <v>54937672.08</v>
      </c>
      <c r="D200" s="46" t="e">
        <f t="shared" si="13"/>
        <v>#NUM!</v>
      </c>
      <c r="E200" s="46" t="e">
        <f t="shared" si="14"/>
        <v>#NUM!</v>
      </c>
      <c r="F200" s="46" t="e">
        <f t="shared" si="15"/>
        <v>#NUM!</v>
      </c>
      <c r="G200" s="46" t="e">
        <f t="shared" si="16"/>
        <v>#NUM!</v>
      </c>
      <c r="H200" s="46">
        <f t="shared" si="17"/>
        <v>19762243077.7601</v>
      </c>
      <c r="I200" s="46">
        <f t="shared" si="18"/>
        <v>2087631539.04</v>
      </c>
      <c r="J200" s="74">
        <f t="shared" si="19"/>
        <v>1</v>
      </c>
      <c r="K200" s="74"/>
      <c r="L200" s="74"/>
    </row>
    <row r="201" customFormat="1" spans="1:12">
      <c r="A201" s="74">
        <v>174</v>
      </c>
      <c r="B201" s="45">
        <v>51318</v>
      </c>
      <c r="C201" s="46">
        <f t="shared" si="12"/>
        <v>54937672.08</v>
      </c>
      <c r="D201" s="46" t="e">
        <f t="shared" si="13"/>
        <v>#NUM!</v>
      </c>
      <c r="E201" s="46" t="e">
        <f t="shared" si="14"/>
        <v>#NUM!</v>
      </c>
      <c r="F201" s="46" t="e">
        <f t="shared" si="15"/>
        <v>#NUM!</v>
      </c>
      <c r="G201" s="46" t="e">
        <f t="shared" si="16"/>
        <v>#NUM!</v>
      </c>
      <c r="H201" s="46">
        <f t="shared" si="17"/>
        <v>19707305405.6801</v>
      </c>
      <c r="I201" s="46">
        <f t="shared" si="18"/>
        <v>2142569211.12</v>
      </c>
      <c r="J201" s="74">
        <f t="shared" si="19"/>
        <v>1</v>
      </c>
      <c r="K201" s="74"/>
      <c r="L201" s="74"/>
    </row>
    <row r="202" customFormat="1" spans="1:12">
      <c r="A202" s="74">
        <v>175</v>
      </c>
      <c r="B202" s="45">
        <v>51349</v>
      </c>
      <c r="C202" s="46">
        <f t="shared" si="12"/>
        <v>54937672.08</v>
      </c>
      <c r="D202" s="46" t="e">
        <f t="shared" si="13"/>
        <v>#NUM!</v>
      </c>
      <c r="E202" s="46" t="e">
        <f t="shared" si="14"/>
        <v>#NUM!</v>
      </c>
      <c r="F202" s="46" t="e">
        <f t="shared" si="15"/>
        <v>#NUM!</v>
      </c>
      <c r="G202" s="46" t="e">
        <f t="shared" si="16"/>
        <v>#NUM!</v>
      </c>
      <c r="H202" s="46">
        <f t="shared" si="17"/>
        <v>19652367733.6001</v>
      </c>
      <c r="I202" s="46">
        <f t="shared" si="18"/>
        <v>2197506883.2</v>
      </c>
      <c r="J202" s="74">
        <f t="shared" si="19"/>
        <v>1</v>
      </c>
      <c r="K202" s="74"/>
      <c r="L202" s="74"/>
    </row>
    <row r="203" customFormat="1" spans="1:12">
      <c r="A203" s="74">
        <v>176</v>
      </c>
      <c r="B203" s="45">
        <v>51380</v>
      </c>
      <c r="C203" s="46">
        <f t="shared" si="12"/>
        <v>54937672.08</v>
      </c>
      <c r="D203" s="46" t="e">
        <f t="shared" si="13"/>
        <v>#NUM!</v>
      </c>
      <c r="E203" s="46" t="e">
        <f t="shared" si="14"/>
        <v>#NUM!</v>
      </c>
      <c r="F203" s="46" t="e">
        <f t="shared" si="15"/>
        <v>#NUM!</v>
      </c>
      <c r="G203" s="46" t="e">
        <f t="shared" si="16"/>
        <v>#NUM!</v>
      </c>
      <c r="H203" s="46">
        <f t="shared" si="17"/>
        <v>19597430061.5201</v>
      </c>
      <c r="I203" s="46">
        <f t="shared" si="18"/>
        <v>2252444555.28</v>
      </c>
      <c r="J203" s="74">
        <f t="shared" si="19"/>
        <v>1</v>
      </c>
      <c r="K203" s="74"/>
      <c r="L203" s="74"/>
    </row>
    <row r="204" customFormat="1" spans="1:12">
      <c r="A204" s="74">
        <v>177</v>
      </c>
      <c r="B204" s="45">
        <v>51410</v>
      </c>
      <c r="C204" s="46">
        <f t="shared" si="12"/>
        <v>54937672.08</v>
      </c>
      <c r="D204" s="46" t="e">
        <f t="shared" si="13"/>
        <v>#NUM!</v>
      </c>
      <c r="E204" s="46" t="e">
        <f t="shared" si="14"/>
        <v>#NUM!</v>
      </c>
      <c r="F204" s="46" t="e">
        <f t="shared" si="15"/>
        <v>#NUM!</v>
      </c>
      <c r="G204" s="46" t="e">
        <f t="shared" si="16"/>
        <v>#NUM!</v>
      </c>
      <c r="H204" s="46">
        <f t="shared" si="17"/>
        <v>19542492389.4401</v>
      </c>
      <c r="I204" s="46">
        <f t="shared" si="18"/>
        <v>2307382227.36</v>
      </c>
      <c r="J204" s="74">
        <f t="shared" si="19"/>
        <v>1</v>
      </c>
      <c r="K204" s="74"/>
      <c r="L204" s="74"/>
    </row>
    <row r="205" customFormat="1" spans="1:12">
      <c r="A205" s="74">
        <v>178</v>
      </c>
      <c r="B205" s="45">
        <v>51441</v>
      </c>
      <c r="C205" s="46">
        <f t="shared" si="12"/>
        <v>54937672.08</v>
      </c>
      <c r="D205" s="46" t="e">
        <f t="shared" si="13"/>
        <v>#NUM!</v>
      </c>
      <c r="E205" s="46" t="e">
        <f t="shared" si="14"/>
        <v>#NUM!</v>
      </c>
      <c r="F205" s="46" t="e">
        <f t="shared" si="15"/>
        <v>#NUM!</v>
      </c>
      <c r="G205" s="46" t="e">
        <f t="shared" si="16"/>
        <v>#NUM!</v>
      </c>
      <c r="H205" s="46">
        <f t="shared" si="17"/>
        <v>19487554717.3601</v>
      </c>
      <c r="I205" s="46">
        <f t="shared" si="18"/>
        <v>2362319899.44</v>
      </c>
      <c r="J205" s="74">
        <f t="shared" si="19"/>
        <v>1</v>
      </c>
      <c r="K205" s="74"/>
      <c r="L205" s="74"/>
    </row>
    <row r="206" customFormat="1" spans="1:12">
      <c r="A206" s="74">
        <v>179</v>
      </c>
      <c r="B206" s="45">
        <v>51471</v>
      </c>
      <c r="C206" s="46">
        <f t="shared" si="12"/>
        <v>54937672.08</v>
      </c>
      <c r="D206" s="46" t="e">
        <f t="shared" si="13"/>
        <v>#NUM!</v>
      </c>
      <c r="E206" s="46" t="e">
        <f t="shared" si="14"/>
        <v>#NUM!</v>
      </c>
      <c r="F206" s="46" t="e">
        <f t="shared" si="15"/>
        <v>#NUM!</v>
      </c>
      <c r="G206" s="46" t="e">
        <f t="shared" si="16"/>
        <v>#NUM!</v>
      </c>
      <c r="H206" s="46">
        <f t="shared" si="17"/>
        <v>19432617045.2801</v>
      </c>
      <c r="I206" s="46">
        <f t="shared" si="18"/>
        <v>2417257571.52</v>
      </c>
      <c r="J206" s="74">
        <f t="shared" si="19"/>
        <v>1</v>
      </c>
      <c r="K206" s="74"/>
      <c r="L206" s="74"/>
    </row>
    <row r="207" customFormat="1" spans="1:12">
      <c r="A207" s="74">
        <v>180</v>
      </c>
      <c r="B207" s="45">
        <v>51502</v>
      </c>
      <c r="C207" s="46">
        <f t="shared" si="12"/>
        <v>54937672.08</v>
      </c>
      <c r="D207" s="46" t="e">
        <f t="shared" si="13"/>
        <v>#NUM!</v>
      </c>
      <c r="E207" s="46" t="e">
        <f t="shared" si="14"/>
        <v>#NUM!</v>
      </c>
      <c r="F207" s="46" t="e">
        <f t="shared" si="15"/>
        <v>#NUM!</v>
      </c>
      <c r="G207" s="46" t="e">
        <f t="shared" si="16"/>
        <v>#NUM!</v>
      </c>
      <c r="H207" s="46">
        <f t="shared" si="17"/>
        <v>19377679373.2001</v>
      </c>
      <c r="I207" s="46">
        <f t="shared" si="18"/>
        <v>2472195243.6</v>
      </c>
      <c r="J207" s="74">
        <f t="shared" si="19"/>
        <v>1</v>
      </c>
      <c r="K207" s="74"/>
      <c r="L207" s="74"/>
    </row>
    <row r="208" customFormat="1" spans="1:12">
      <c r="A208" s="74">
        <v>181</v>
      </c>
      <c r="B208" s="45">
        <v>51533</v>
      </c>
      <c r="C208" s="46">
        <f t="shared" si="12"/>
        <v>54937672.08</v>
      </c>
      <c r="D208" s="46" t="e">
        <f t="shared" si="13"/>
        <v>#NUM!</v>
      </c>
      <c r="E208" s="46" t="e">
        <f t="shared" si="14"/>
        <v>#NUM!</v>
      </c>
      <c r="F208" s="46" t="e">
        <f t="shared" si="15"/>
        <v>#NUM!</v>
      </c>
      <c r="G208" s="46" t="e">
        <f t="shared" si="16"/>
        <v>#NUM!</v>
      </c>
      <c r="H208" s="46">
        <f t="shared" si="17"/>
        <v>19322741701.1201</v>
      </c>
      <c r="I208" s="46">
        <f t="shared" si="18"/>
        <v>2527132915.68</v>
      </c>
      <c r="J208" s="74">
        <f t="shared" si="19"/>
        <v>1</v>
      </c>
      <c r="K208" s="74"/>
      <c r="L208" s="74"/>
    </row>
    <row r="209" customFormat="1" spans="1:12">
      <c r="A209" s="74">
        <v>182</v>
      </c>
      <c r="B209" s="45">
        <v>51561</v>
      </c>
      <c r="C209" s="46">
        <f t="shared" si="12"/>
        <v>54937672.08</v>
      </c>
      <c r="D209" s="46" t="e">
        <f t="shared" si="13"/>
        <v>#NUM!</v>
      </c>
      <c r="E209" s="46" t="e">
        <f t="shared" si="14"/>
        <v>#NUM!</v>
      </c>
      <c r="F209" s="46" t="e">
        <f t="shared" si="15"/>
        <v>#NUM!</v>
      </c>
      <c r="G209" s="46" t="e">
        <f t="shared" si="16"/>
        <v>#NUM!</v>
      </c>
      <c r="H209" s="46">
        <f t="shared" si="17"/>
        <v>19267804029.0401</v>
      </c>
      <c r="I209" s="46">
        <f t="shared" si="18"/>
        <v>2582070587.76</v>
      </c>
      <c r="J209" s="74">
        <f t="shared" si="19"/>
        <v>1</v>
      </c>
      <c r="K209" s="74"/>
      <c r="L209" s="74"/>
    </row>
    <row r="210" customFormat="1" spans="1:12">
      <c r="A210" s="74">
        <v>183</v>
      </c>
      <c r="B210" s="45">
        <v>51592</v>
      </c>
      <c r="C210" s="46">
        <f t="shared" si="12"/>
        <v>54937672.08</v>
      </c>
      <c r="D210" s="46" t="e">
        <f t="shared" si="13"/>
        <v>#NUM!</v>
      </c>
      <c r="E210" s="46" t="e">
        <f t="shared" si="14"/>
        <v>#NUM!</v>
      </c>
      <c r="F210" s="46" t="e">
        <f t="shared" si="15"/>
        <v>#NUM!</v>
      </c>
      <c r="G210" s="46" t="e">
        <f t="shared" si="16"/>
        <v>#NUM!</v>
      </c>
      <c r="H210" s="46">
        <f t="shared" si="17"/>
        <v>19212866356.9601</v>
      </c>
      <c r="I210" s="46">
        <f t="shared" si="18"/>
        <v>2637008259.84</v>
      </c>
      <c r="J210" s="74">
        <f t="shared" si="19"/>
        <v>1</v>
      </c>
      <c r="K210" s="74"/>
      <c r="L210" s="74"/>
    </row>
    <row r="211" customFormat="1" spans="1:12">
      <c r="A211" s="74">
        <v>184</v>
      </c>
      <c r="B211" s="45">
        <v>51622</v>
      </c>
      <c r="C211" s="46">
        <f t="shared" si="12"/>
        <v>54937672.08</v>
      </c>
      <c r="D211" s="46" t="e">
        <f t="shared" si="13"/>
        <v>#NUM!</v>
      </c>
      <c r="E211" s="46" t="e">
        <f t="shared" si="14"/>
        <v>#NUM!</v>
      </c>
      <c r="F211" s="46" t="e">
        <f t="shared" si="15"/>
        <v>#NUM!</v>
      </c>
      <c r="G211" s="46" t="e">
        <f t="shared" si="16"/>
        <v>#NUM!</v>
      </c>
      <c r="H211" s="46">
        <f t="shared" si="17"/>
        <v>19157928684.8801</v>
      </c>
      <c r="I211" s="46">
        <f t="shared" si="18"/>
        <v>2691945931.92</v>
      </c>
      <c r="J211" s="74">
        <f t="shared" si="19"/>
        <v>1</v>
      </c>
      <c r="K211" s="74"/>
      <c r="L211" s="74"/>
    </row>
    <row r="212" customFormat="1" spans="1:12">
      <c r="A212" s="74">
        <v>185</v>
      </c>
      <c r="B212" s="45">
        <v>51653</v>
      </c>
      <c r="C212" s="46">
        <f t="shared" si="12"/>
        <v>54937672.08</v>
      </c>
      <c r="D212" s="46" t="e">
        <f t="shared" si="13"/>
        <v>#NUM!</v>
      </c>
      <c r="E212" s="46" t="e">
        <f t="shared" si="14"/>
        <v>#NUM!</v>
      </c>
      <c r="F212" s="46" t="e">
        <f t="shared" si="15"/>
        <v>#NUM!</v>
      </c>
      <c r="G212" s="46" t="e">
        <f t="shared" si="16"/>
        <v>#NUM!</v>
      </c>
      <c r="H212" s="46">
        <f t="shared" si="17"/>
        <v>19102991012.8001</v>
      </c>
      <c r="I212" s="46">
        <f t="shared" si="18"/>
        <v>2746883604</v>
      </c>
      <c r="J212" s="74">
        <f t="shared" si="19"/>
        <v>1</v>
      </c>
      <c r="K212" s="74"/>
      <c r="L212" s="74"/>
    </row>
    <row r="213" customFormat="1" spans="1:12">
      <c r="A213" s="74">
        <v>186</v>
      </c>
      <c r="B213" s="45">
        <v>51683</v>
      </c>
      <c r="C213" s="46">
        <f t="shared" si="12"/>
        <v>54937672.08</v>
      </c>
      <c r="D213" s="46" t="e">
        <f t="shared" si="13"/>
        <v>#NUM!</v>
      </c>
      <c r="E213" s="46" t="e">
        <f t="shared" si="14"/>
        <v>#NUM!</v>
      </c>
      <c r="F213" s="46" t="e">
        <f t="shared" si="15"/>
        <v>#NUM!</v>
      </c>
      <c r="G213" s="46" t="e">
        <f t="shared" si="16"/>
        <v>#NUM!</v>
      </c>
      <c r="H213" s="46">
        <f t="shared" si="17"/>
        <v>19048053340.7201</v>
      </c>
      <c r="I213" s="46">
        <f t="shared" si="18"/>
        <v>2801821276.08</v>
      </c>
      <c r="J213" s="74">
        <f t="shared" si="19"/>
        <v>1</v>
      </c>
      <c r="K213" s="74"/>
      <c r="L213" s="74"/>
    </row>
    <row r="214" customFormat="1" spans="1:12">
      <c r="A214" s="74">
        <v>187</v>
      </c>
      <c r="B214" s="45">
        <v>51714</v>
      </c>
      <c r="C214" s="46">
        <f t="shared" si="12"/>
        <v>54937672.08</v>
      </c>
      <c r="D214" s="46" t="e">
        <f t="shared" si="13"/>
        <v>#NUM!</v>
      </c>
      <c r="E214" s="46" t="e">
        <f t="shared" si="14"/>
        <v>#NUM!</v>
      </c>
      <c r="F214" s="46" t="e">
        <f t="shared" si="15"/>
        <v>#NUM!</v>
      </c>
      <c r="G214" s="46" t="e">
        <f t="shared" si="16"/>
        <v>#NUM!</v>
      </c>
      <c r="H214" s="46">
        <f t="shared" si="17"/>
        <v>18993115668.6401</v>
      </c>
      <c r="I214" s="46">
        <f t="shared" si="18"/>
        <v>2856758948.16</v>
      </c>
      <c r="J214" s="74">
        <f t="shared" si="19"/>
        <v>1</v>
      </c>
      <c r="K214" s="74"/>
      <c r="L214" s="74"/>
    </row>
    <row r="215" spans="1:12">
      <c r="A215" s="74">
        <v>188</v>
      </c>
      <c r="B215" s="45">
        <v>51745</v>
      </c>
      <c r="C215" s="46">
        <f t="shared" si="12"/>
        <v>54937672.08</v>
      </c>
      <c r="D215" s="46" t="e">
        <f t="shared" si="13"/>
        <v>#NUM!</v>
      </c>
      <c r="E215" s="46" t="e">
        <f t="shared" si="14"/>
        <v>#NUM!</v>
      </c>
      <c r="F215" s="46" t="e">
        <f t="shared" si="15"/>
        <v>#NUM!</v>
      </c>
      <c r="G215" s="46" t="e">
        <f t="shared" si="16"/>
        <v>#NUM!</v>
      </c>
      <c r="H215" s="46">
        <f t="shared" si="17"/>
        <v>18938177996.5601</v>
      </c>
      <c r="I215" s="46">
        <f t="shared" si="18"/>
        <v>2911696620.24</v>
      </c>
      <c r="J215" s="74">
        <f t="shared" si="19"/>
        <v>1</v>
      </c>
      <c r="K215" s="74"/>
      <c r="L215" s="74"/>
    </row>
    <row r="216" spans="1:12">
      <c r="A216" s="74">
        <v>189</v>
      </c>
      <c r="B216" s="45">
        <v>51775</v>
      </c>
      <c r="C216" s="46">
        <f t="shared" si="12"/>
        <v>54937672.08</v>
      </c>
      <c r="D216" s="46" t="e">
        <f t="shared" si="13"/>
        <v>#NUM!</v>
      </c>
      <c r="E216" s="46" t="e">
        <f t="shared" si="14"/>
        <v>#NUM!</v>
      </c>
      <c r="F216" s="46" t="e">
        <f t="shared" si="15"/>
        <v>#NUM!</v>
      </c>
      <c r="G216" s="46" t="e">
        <f t="shared" si="16"/>
        <v>#NUM!</v>
      </c>
      <c r="H216" s="46">
        <f t="shared" si="17"/>
        <v>18883240324.4801</v>
      </c>
      <c r="I216" s="46">
        <f t="shared" si="18"/>
        <v>2966634292.32</v>
      </c>
      <c r="J216" s="74">
        <f t="shared" si="19"/>
        <v>1</v>
      </c>
      <c r="K216" s="74"/>
      <c r="L216" s="74"/>
    </row>
    <row r="217" spans="1:12">
      <c r="A217" s="74">
        <v>190</v>
      </c>
      <c r="B217" s="45">
        <v>51806</v>
      </c>
      <c r="C217" s="46">
        <f t="shared" si="12"/>
        <v>54937672.08</v>
      </c>
      <c r="D217" s="46" t="e">
        <f t="shared" si="13"/>
        <v>#NUM!</v>
      </c>
      <c r="E217" s="46" t="e">
        <f t="shared" si="14"/>
        <v>#NUM!</v>
      </c>
      <c r="F217" s="46" t="e">
        <f t="shared" si="15"/>
        <v>#NUM!</v>
      </c>
      <c r="G217" s="46" t="e">
        <f t="shared" si="16"/>
        <v>#NUM!</v>
      </c>
      <c r="H217" s="46">
        <f t="shared" si="17"/>
        <v>18828302652.4001</v>
      </c>
      <c r="I217" s="46">
        <f t="shared" si="18"/>
        <v>3021571964.4</v>
      </c>
      <c r="J217" s="74">
        <f t="shared" si="19"/>
        <v>1</v>
      </c>
      <c r="K217" s="74"/>
      <c r="L217" s="74"/>
    </row>
    <row r="218" spans="1:12">
      <c r="A218" s="74">
        <v>191</v>
      </c>
      <c r="B218" s="45">
        <v>51836</v>
      </c>
      <c r="C218" s="46">
        <f t="shared" si="12"/>
        <v>54937672.08</v>
      </c>
      <c r="D218" s="46" t="e">
        <f t="shared" si="13"/>
        <v>#NUM!</v>
      </c>
      <c r="E218" s="46" t="e">
        <f t="shared" si="14"/>
        <v>#NUM!</v>
      </c>
      <c r="F218" s="46" t="e">
        <f t="shared" si="15"/>
        <v>#NUM!</v>
      </c>
      <c r="G218" s="46" t="e">
        <f t="shared" si="16"/>
        <v>#NUM!</v>
      </c>
      <c r="H218" s="46">
        <f t="shared" si="17"/>
        <v>18773364980.3201</v>
      </c>
      <c r="I218" s="46">
        <f t="shared" si="18"/>
        <v>3076509636.48</v>
      </c>
      <c r="J218" s="74">
        <f t="shared" si="19"/>
        <v>1</v>
      </c>
      <c r="K218" s="74"/>
      <c r="L218" s="74"/>
    </row>
    <row r="219" spans="1:12">
      <c r="A219" s="74">
        <v>192</v>
      </c>
      <c r="B219" s="45">
        <v>51867</v>
      </c>
      <c r="C219" s="46">
        <f t="shared" si="12"/>
        <v>54937672.08</v>
      </c>
      <c r="D219" s="46" t="e">
        <f t="shared" si="13"/>
        <v>#NUM!</v>
      </c>
      <c r="E219" s="46" t="e">
        <f t="shared" si="14"/>
        <v>#NUM!</v>
      </c>
      <c r="F219" s="46" t="e">
        <f t="shared" si="15"/>
        <v>#NUM!</v>
      </c>
      <c r="G219" s="46" t="e">
        <f t="shared" si="16"/>
        <v>#NUM!</v>
      </c>
      <c r="H219" s="46">
        <f t="shared" si="17"/>
        <v>18718427308.2401</v>
      </c>
      <c r="I219" s="46">
        <f t="shared" si="18"/>
        <v>3131447308.56</v>
      </c>
      <c r="J219" s="74">
        <f t="shared" si="19"/>
        <v>1</v>
      </c>
      <c r="K219" s="74"/>
      <c r="L219" s="74"/>
    </row>
    <row r="220" spans="1:12">
      <c r="A220" s="74">
        <v>193</v>
      </c>
      <c r="B220" s="45">
        <v>51898</v>
      </c>
      <c r="C220" s="46">
        <f t="shared" si="12"/>
        <v>54937672.08</v>
      </c>
      <c r="D220" s="46" t="e">
        <f t="shared" si="13"/>
        <v>#NUM!</v>
      </c>
      <c r="E220" s="46" t="e">
        <f t="shared" si="14"/>
        <v>#NUM!</v>
      </c>
      <c r="F220" s="46" t="e">
        <f t="shared" si="15"/>
        <v>#NUM!</v>
      </c>
      <c r="G220" s="46" t="e">
        <f t="shared" si="16"/>
        <v>#NUM!</v>
      </c>
      <c r="H220" s="46">
        <f t="shared" si="17"/>
        <v>18663489636.1601</v>
      </c>
      <c r="I220" s="46">
        <f t="shared" si="18"/>
        <v>3186384980.64</v>
      </c>
      <c r="J220" s="74">
        <f t="shared" si="19"/>
        <v>1</v>
      </c>
      <c r="K220" s="74"/>
      <c r="L220" s="74"/>
    </row>
    <row r="221" spans="1:12">
      <c r="A221" s="74">
        <v>194</v>
      </c>
      <c r="B221" s="45">
        <v>51926</v>
      </c>
      <c r="C221" s="46">
        <f t="shared" si="12"/>
        <v>54937672.08</v>
      </c>
      <c r="D221" s="46" t="e">
        <f t="shared" si="13"/>
        <v>#NUM!</v>
      </c>
      <c r="E221" s="46" t="e">
        <f t="shared" si="14"/>
        <v>#NUM!</v>
      </c>
      <c r="F221" s="46" t="e">
        <f t="shared" si="15"/>
        <v>#NUM!</v>
      </c>
      <c r="G221" s="46" t="e">
        <f t="shared" si="16"/>
        <v>#NUM!</v>
      </c>
      <c r="H221" s="46">
        <f t="shared" si="17"/>
        <v>18608551964.0801</v>
      </c>
      <c r="I221" s="46">
        <f t="shared" si="18"/>
        <v>3241322652.72</v>
      </c>
      <c r="J221" s="74">
        <f t="shared" si="19"/>
        <v>1</v>
      </c>
      <c r="K221" s="74"/>
      <c r="L221" s="74"/>
    </row>
    <row r="222" spans="1:12">
      <c r="A222" s="74">
        <v>195</v>
      </c>
      <c r="B222" s="45">
        <v>51957</v>
      </c>
      <c r="C222" s="46">
        <f t="shared" si="12"/>
        <v>54937672.08</v>
      </c>
      <c r="D222" s="46" t="e">
        <f t="shared" si="13"/>
        <v>#NUM!</v>
      </c>
      <c r="E222" s="46" t="e">
        <f t="shared" si="14"/>
        <v>#NUM!</v>
      </c>
      <c r="F222" s="46" t="e">
        <f t="shared" si="15"/>
        <v>#NUM!</v>
      </c>
      <c r="G222" s="46" t="e">
        <f t="shared" si="16"/>
        <v>#NUM!</v>
      </c>
      <c r="H222" s="46">
        <f t="shared" si="17"/>
        <v>18553614292.0001</v>
      </c>
      <c r="I222" s="46">
        <f t="shared" si="18"/>
        <v>3296260324.8</v>
      </c>
      <c r="J222" s="74">
        <f t="shared" si="19"/>
        <v>1</v>
      </c>
      <c r="K222" s="74"/>
      <c r="L222" s="74"/>
    </row>
    <row r="223" spans="1:12">
      <c r="A223" s="74">
        <v>196</v>
      </c>
      <c r="B223" s="45">
        <v>51987</v>
      </c>
      <c r="C223" s="46">
        <f t="shared" si="12"/>
        <v>54937672.08</v>
      </c>
      <c r="D223" s="46" t="e">
        <f t="shared" si="13"/>
        <v>#NUM!</v>
      </c>
      <c r="E223" s="46" t="e">
        <f t="shared" si="14"/>
        <v>#NUM!</v>
      </c>
      <c r="F223" s="46" t="e">
        <f t="shared" si="15"/>
        <v>#NUM!</v>
      </c>
      <c r="G223" s="46" t="e">
        <f t="shared" si="16"/>
        <v>#NUM!</v>
      </c>
      <c r="H223" s="46">
        <f t="shared" si="17"/>
        <v>18498676619.9201</v>
      </c>
      <c r="I223" s="46">
        <f t="shared" si="18"/>
        <v>3351197996.88</v>
      </c>
      <c r="J223" s="74">
        <f t="shared" si="19"/>
        <v>1</v>
      </c>
      <c r="K223" s="74"/>
      <c r="L223" s="74"/>
    </row>
    <row r="224" spans="1:12">
      <c r="A224" s="74">
        <v>197</v>
      </c>
      <c r="B224" s="45">
        <v>52018</v>
      </c>
      <c r="C224" s="46">
        <f t="shared" si="12"/>
        <v>54937672.08</v>
      </c>
      <c r="D224" s="46" t="e">
        <f t="shared" si="13"/>
        <v>#NUM!</v>
      </c>
      <c r="E224" s="46" t="e">
        <f t="shared" si="14"/>
        <v>#NUM!</v>
      </c>
      <c r="F224" s="46" t="e">
        <f t="shared" si="15"/>
        <v>#NUM!</v>
      </c>
      <c r="G224" s="46" t="e">
        <f t="shared" si="16"/>
        <v>#NUM!</v>
      </c>
      <c r="H224" s="46">
        <f t="shared" si="17"/>
        <v>18443738947.8401</v>
      </c>
      <c r="I224" s="46">
        <f t="shared" si="18"/>
        <v>3406135668.96</v>
      </c>
      <c r="J224" s="74">
        <f t="shared" si="19"/>
        <v>1</v>
      </c>
      <c r="K224" s="74"/>
      <c r="L224" s="74"/>
    </row>
    <row r="225" spans="1:12">
      <c r="A225" s="74">
        <v>198</v>
      </c>
      <c r="B225" s="45">
        <v>52048</v>
      </c>
      <c r="C225" s="46">
        <f t="shared" si="12"/>
        <v>54937672.08</v>
      </c>
      <c r="D225" s="46" t="e">
        <f t="shared" si="13"/>
        <v>#NUM!</v>
      </c>
      <c r="E225" s="46" t="e">
        <f t="shared" si="14"/>
        <v>#NUM!</v>
      </c>
      <c r="F225" s="46" t="e">
        <f t="shared" si="15"/>
        <v>#NUM!</v>
      </c>
      <c r="G225" s="46" t="e">
        <f t="shared" si="16"/>
        <v>#NUM!</v>
      </c>
      <c r="H225" s="46">
        <f t="shared" si="17"/>
        <v>18388801275.7601</v>
      </c>
      <c r="I225" s="46">
        <f t="shared" si="18"/>
        <v>3461073341.04</v>
      </c>
      <c r="J225" s="74">
        <f t="shared" si="19"/>
        <v>1</v>
      </c>
      <c r="K225" s="74"/>
      <c r="L225" s="74"/>
    </row>
    <row r="226" spans="1:12">
      <c r="A226" s="74">
        <v>199</v>
      </c>
      <c r="B226" s="45">
        <v>52079</v>
      </c>
      <c r="C226" s="46">
        <f t="shared" si="12"/>
        <v>54937672.08</v>
      </c>
      <c r="D226" s="46" t="e">
        <f t="shared" si="13"/>
        <v>#NUM!</v>
      </c>
      <c r="E226" s="46" t="e">
        <f t="shared" si="14"/>
        <v>#NUM!</v>
      </c>
      <c r="F226" s="46" t="e">
        <f t="shared" si="15"/>
        <v>#NUM!</v>
      </c>
      <c r="G226" s="46" t="e">
        <f t="shared" si="16"/>
        <v>#NUM!</v>
      </c>
      <c r="H226" s="46">
        <f t="shared" si="17"/>
        <v>18333863603.6801</v>
      </c>
      <c r="I226" s="46">
        <f t="shared" si="18"/>
        <v>3516011013.12</v>
      </c>
      <c r="J226" s="74">
        <f t="shared" si="19"/>
        <v>1</v>
      </c>
      <c r="K226" s="74"/>
      <c r="L226" s="74"/>
    </row>
    <row r="227" spans="1:12">
      <c r="A227" s="74">
        <v>200</v>
      </c>
      <c r="B227" s="45">
        <v>52110</v>
      </c>
      <c r="C227" s="46">
        <f t="shared" ref="C227:C290" si="20">ROUND(-PMT($B$5/$B$11,$B$10,$B$4,0),2)</f>
        <v>54937672.08</v>
      </c>
      <c r="D227" s="46" t="e">
        <f t="shared" ref="D227:D290" si="21">ROUND(-PPMT($B$5/$B$11,A227,$B$10,$B$4,0),2)</f>
        <v>#NUM!</v>
      </c>
      <c r="E227" s="46" t="e">
        <f t="shared" ref="E227:E290" si="22">C227-D227</f>
        <v>#NUM!</v>
      </c>
      <c r="F227" s="46" t="e">
        <f t="shared" ref="F227:F290" si="23">D227+F226</f>
        <v>#NUM!</v>
      </c>
      <c r="G227" s="46" t="e">
        <f t="shared" ref="G227:G290" si="24">$B$4-F227</f>
        <v>#NUM!</v>
      </c>
      <c r="H227" s="46">
        <f t="shared" ref="H227:H290" si="25">SUM($C$28:$C$527)-I227</f>
        <v>18278925931.6001</v>
      </c>
      <c r="I227" s="46">
        <f t="shared" ref="I227:I290" si="26">C227+I226</f>
        <v>3570948685.2</v>
      </c>
      <c r="J227" s="74">
        <f t="shared" ref="J227:J290" si="27">DATEDIF(B226,B227,"M")</f>
        <v>1</v>
      </c>
      <c r="K227" s="74"/>
      <c r="L227" s="74"/>
    </row>
    <row r="228" spans="1:12">
      <c r="A228" s="74">
        <v>201</v>
      </c>
      <c r="B228" s="45">
        <v>52140</v>
      </c>
      <c r="C228" s="46">
        <f t="shared" si="20"/>
        <v>54937672.08</v>
      </c>
      <c r="D228" s="46" t="e">
        <f t="shared" si="21"/>
        <v>#NUM!</v>
      </c>
      <c r="E228" s="46" t="e">
        <f t="shared" si="22"/>
        <v>#NUM!</v>
      </c>
      <c r="F228" s="46" t="e">
        <f t="shared" si="23"/>
        <v>#NUM!</v>
      </c>
      <c r="G228" s="46" t="e">
        <f t="shared" si="24"/>
        <v>#NUM!</v>
      </c>
      <c r="H228" s="46">
        <f t="shared" si="25"/>
        <v>18223988259.5201</v>
      </c>
      <c r="I228" s="46">
        <f t="shared" si="26"/>
        <v>3625886357.28</v>
      </c>
      <c r="J228" s="74">
        <f t="shared" si="27"/>
        <v>1</v>
      </c>
      <c r="K228" s="74"/>
      <c r="L228" s="74"/>
    </row>
    <row r="229" spans="1:12">
      <c r="A229" s="74">
        <v>202</v>
      </c>
      <c r="B229" s="45">
        <v>52171</v>
      </c>
      <c r="C229" s="46">
        <f t="shared" si="20"/>
        <v>54937672.08</v>
      </c>
      <c r="D229" s="46" t="e">
        <f t="shared" si="21"/>
        <v>#NUM!</v>
      </c>
      <c r="E229" s="46" t="e">
        <f t="shared" si="22"/>
        <v>#NUM!</v>
      </c>
      <c r="F229" s="46" t="e">
        <f t="shared" si="23"/>
        <v>#NUM!</v>
      </c>
      <c r="G229" s="46" t="e">
        <f t="shared" si="24"/>
        <v>#NUM!</v>
      </c>
      <c r="H229" s="46">
        <f t="shared" si="25"/>
        <v>18169050587.4401</v>
      </c>
      <c r="I229" s="46">
        <f t="shared" si="26"/>
        <v>3680824029.36</v>
      </c>
      <c r="J229" s="74">
        <f t="shared" si="27"/>
        <v>1</v>
      </c>
      <c r="K229" s="74"/>
      <c r="L229" s="74"/>
    </row>
    <row r="230" spans="1:12">
      <c r="A230" s="74">
        <v>203</v>
      </c>
      <c r="B230" s="45">
        <v>52201</v>
      </c>
      <c r="C230" s="46">
        <f t="shared" si="20"/>
        <v>54937672.08</v>
      </c>
      <c r="D230" s="46" t="e">
        <f t="shared" si="21"/>
        <v>#NUM!</v>
      </c>
      <c r="E230" s="46" t="e">
        <f t="shared" si="22"/>
        <v>#NUM!</v>
      </c>
      <c r="F230" s="46" t="e">
        <f t="shared" si="23"/>
        <v>#NUM!</v>
      </c>
      <c r="G230" s="46" t="e">
        <f t="shared" si="24"/>
        <v>#NUM!</v>
      </c>
      <c r="H230" s="46">
        <f t="shared" si="25"/>
        <v>18114112915.3601</v>
      </c>
      <c r="I230" s="46">
        <f t="shared" si="26"/>
        <v>3735761701.44</v>
      </c>
      <c r="J230" s="74">
        <f t="shared" si="27"/>
        <v>1</v>
      </c>
      <c r="K230" s="74"/>
      <c r="L230" s="74"/>
    </row>
    <row r="231" spans="1:12">
      <c r="A231" s="74">
        <v>204</v>
      </c>
      <c r="B231" s="45">
        <v>52232</v>
      </c>
      <c r="C231" s="46">
        <f t="shared" si="20"/>
        <v>54937672.08</v>
      </c>
      <c r="D231" s="46" t="e">
        <f t="shared" si="21"/>
        <v>#NUM!</v>
      </c>
      <c r="E231" s="46" t="e">
        <f t="shared" si="22"/>
        <v>#NUM!</v>
      </c>
      <c r="F231" s="46" t="e">
        <f t="shared" si="23"/>
        <v>#NUM!</v>
      </c>
      <c r="G231" s="46" t="e">
        <f t="shared" si="24"/>
        <v>#NUM!</v>
      </c>
      <c r="H231" s="46">
        <f t="shared" si="25"/>
        <v>18059175243.2801</v>
      </c>
      <c r="I231" s="46">
        <f t="shared" si="26"/>
        <v>3790699373.52</v>
      </c>
      <c r="J231" s="74">
        <f t="shared" si="27"/>
        <v>1</v>
      </c>
      <c r="K231" s="74"/>
      <c r="L231" s="74"/>
    </row>
    <row r="232" spans="1:12">
      <c r="A232" s="74">
        <v>205</v>
      </c>
      <c r="B232" s="45">
        <v>52263</v>
      </c>
      <c r="C232" s="46">
        <f t="shared" si="20"/>
        <v>54937672.08</v>
      </c>
      <c r="D232" s="46" t="e">
        <f t="shared" si="21"/>
        <v>#NUM!</v>
      </c>
      <c r="E232" s="46" t="e">
        <f t="shared" si="22"/>
        <v>#NUM!</v>
      </c>
      <c r="F232" s="46" t="e">
        <f t="shared" si="23"/>
        <v>#NUM!</v>
      </c>
      <c r="G232" s="46" t="e">
        <f t="shared" si="24"/>
        <v>#NUM!</v>
      </c>
      <c r="H232" s="46">
        <f t="shared" si="25"/>
        <v>18004237571.2001</v>
      </c>
      <c r="I232" s="46">
        <f t="shared" si="26"/>
        <v>3845637045.6</v>
      </c>
      <c r="J232" s="74">
        <f t="shared" si="27"/>
        <v>1</v>
      </c>
      <c r="K232" s="74"/>
      <c r="L232" s="74"/>
    </row>
    <row r="233" spans="1:12">
      <c r="A233" s="74">
        <v>206</v>
      </c>
      <c r="B233" s="45">
        <v>52291</v>
      </c>
      <c r="C233" s="46">
        <f t="shared" si="20"/>
        <v>54937672.08</v>
      </c>
      <c r="D233" s="46" t="e">
        <f t="shared" si="21"/>
        <v>#NUM!</v>
      </c>
      <c r="E233" s="46" t="e">
        <f t="shared" si="22"/>
        <v>#NUM!</v>
      </c>
      <c r="F233" s="46" t="e">
        <f t="shared" si="23"/>
        <v>#NUM!</v>
      </c>
      <c r="G233" s="46" t="e">
        <f t="shared" si="24"/>
        <v>#NUM!</v>
      </c>
      <c r="H233" s="46">
        <f t="shared" si="25"/>
        <v>17949299899.1201</v>
      </c>
      <c r="I233" s="46">
        <f t="shared" si="26"/>
        <v>3900574717.68</v>
      </c>
      <c r="J233" s="74">
        <f t="shared" si="27"/>
        <v>1</v>
      </c>
      <c r="K233" s="74"/>
      <c r="L233" s="74"/>
    </row>
    <row r="234" spans="1:12">
      <c r="A234" s="74">
        <v>207</v>
      </c>
      <c r="B234" s="45">
        <v>52322</v>
      </c>
      <c r="C234" s="46">
        <f t="shared" si="20"/>
        <v>54937672.08</v>
      </c>
      <c r="D234" s="46" t="e">
        <f t="shared" si="21"/>
        <v>#NUM!</v>
      </c>
      <c r="E234" s="46" t="e">
        <f t="shared" si="22"/>
        <v>#NUM!</v>
      </c>
      <c r="F234" s="46" t="e">
        <f t="shared" si="23"/>
        <v>#NUM!</v>
      </c>
      <c r="G234" s="46" t="e">
        <f t="shared" si="24"/>
        <v>#NUM!</v>
      </c>
      <c r="H234" s="46">
        <f t="shared" si="25"/>
        <v>17894362227.0401</v>
      </c>
      <c r="I234" s="46">
        <f t="shared" si="26"/>
        <v>3955512389.76</v>
      </c>
      <c r="J234" s="74">
        <f t="shared" si="27"/>
        <v>1</v>
      </c>
      <c r="K234" s="74"/>
      <c r="L234" s="74"/>
    </row>
    <row r="235" spans="1:12">
      <c r="A235" s="74">
        <v>208</v>
      </c>
      <c r="B235" s="45">
        <v>52352</v>
      </c>
      <c r="C235" s="46">
        <f t="shared" si="20"/>
        <v>54937672.08</v>
      </c>
      <c r="D235" s="46" t="e">
        <f t="shared" si="21"/>
        <v>#NUM!</v>
      </c>
      <c r="E235" s="46" t="e">
        <f t="shared" si="22"/>
        <v>#NUM!</v>
      </c>
      <c r="F235" s="46" t="e">
        <f t="shared" si="23"/>
        <v>#NUM!</v>
      </c>
      <c r="G235" s="46" t="e">
        <f t="shared" si="24"/>
        <v>#NUM!</v>
      </c>
      <c r="H235" s="46">
        <f t="shared" si="25"/>
        <v>17839424554.9601</v>
      </c>
      <c r="I235" s="46">
        <f t="shared" si="26"/>
        <v>4010450061.84</v>
      </c>
      <c r="J235" s="74">
        <f t="shared" si="27"/>
        <v>1</v>
      </c>
      <c r="K235" s="74"/>
      <c r="L235" s="74"/>
    </row>
    <row r="236" spans="1:12">
      <c r="A236" s="74">
        <v>209</v>
      </c>
      <c r="B236" s="45">
        <v>52383</v>
      </c>
      <c r="C236" s="46">
        <f t="shared" si="20"/>
        <v>54937672.08</v>
      </c>
      <c r="D236" s="46" t="e">
        <f t="shared" si="21"/>
        <v>#NUM!</v>
      </c>
      <c r="E236" s="46" t="e">
        <f t="shared" si="22"/>
        <v>#NUM!</v>
      </c>
      <c r="F236" s="46" t="e">
        <f t="shared" si="23"/>
        <v>#NUM!</v>
      </c>
      <c r="G236" s="46" t="e">
        <f t="shared" si="24"/>
        <v>#NUM!</v>
      </c>
      <c r="H236" s="46">
        <f t="shared" si="25"/>
        <v>17784486882.8801</v>
      </c>
      <c r="I236" s="46">
        <f t="shared" si="26"/>
        <v>4065387733.92</v>
      </c>
      <c r="J236" s="74">
        <f t="shared" si="27"/>
        <v>1</v>
      </c>
      <c r="K236" s="74"/>
      <c r="L236" s="74"/>
    </row>
    <row r="237" spans="1:12">
      <c r="A237" s="74">
        <v>210</v>
      </c>
      <c r="B237" s="45">
        <v>52413</v>
      </c>
      <c r="C237" s="46">
        <f t="shared" si="20"/>
        <v>54937672.08</v>
      </c>
      <c r="D237" s="46" t="e">
        <f t="shared" si="21"/>
        <v>#NUM!</v>
      </c>
      <c r="E237" s="46" t="e">
        <f t="shared" si="22"/>
        <v>#NUM!</v>
      </c>
      <c r="F237" s="46" t="e">
        <f t="shared" si="23"/>
        <v>#NUM!</v>
      </c>
      <c r="G237" s="46" t="e">
        <f t="shared" si="24"/>
        <v>#NUM!</v>
      </c>
      <c r="H237" s="46">
        <f t="shared" si="25"/>
        <v>17729549210.8001</v>
      </c>
      <c r="I237" s="46">
        <f t="shared" si="26"/>
        <v>4120325406</v>
      </c>
      <c r="J237" s="74">
        <f t="shared" si="27"/>
        <v>1</v>
      </c>
      <c r="K237" s="74"/>
      <c r="L237" s="74"/>
    </row>
    <row r="238" spans="1:12">
      <c r="A238" s="74">
        <v>211</v>
      </c>
      <c r="B238" s="45">
        <v>52444</v>
      </c>
      <c r="C238" s="46">
        <f t="shared" si="20"/>
        <v>54937672.08</v>
      </c>
      <c r="D238" s="46" t="e">
        <f t="shared" si="21"/>
        <v>#NUM!</v>
      </c>
      <c r="E238" s="46" t="e">
        <f t="shared" si="22"/>
        <v>#NUM!</v>
      </c>
      <c r="F238" s="46" t="e">
        <f t="shared" si="23"/>
        <v>#NUM!</v>
      </c>
      <c r="G238" s="46" t="e">
        <f t="shared" si="24"/>
        <v>#NUM!</v>
      </c>
      <c r="H238" s="46">
        <f t="shared" si="25"/>
        <v>17674611538.7201</v>
      </c>
      <c r="I238" s="46">
        <f t="shared" si="26"/>
        <v>4175263078.08</v>
      </c>
      <c r="J238" s="74">
        <f t="shared" si="27"/>
        <v>1</v>
      </c>
      <c r="K238" s="74"/>
      <c r="L238" s="74"/>
    </row>
    <row r="239" spans="1:12">
      <c r="A239" s="74">
        <v>212</v>
      </c>
      <c r="B239" s="45">
        <v>52475</v>
      </c>
      <c r="C239" s="46">
        <f t="shared" si="20"/>
        <v>54937672.08</v>
      </c>
      <c r="D239" s="46" t="e">
        <f t="shared" si="21"/>
        <v>#NUM!</v>
      </c>
      <c r="E239" s="46" t="e">
        <f t="shared" si="22"/>
        <v>#NUM!</v>
      </c>
      <c r="F239" s="46" t="e">
        <f t="shared" si="23"/>
        <v>#NUM!</v>
      </c>
      <c r="G239" s="46" t="e">
        <f t="shared" si="24"/>
        <v>#NUM!</v>
      </c>
      <c r="H239" s="46">
        <f t="shared" si="25"/>
        <v>17619673866.6401</v>
      </c>
      <c r="I239" s="46">
        <f t="shared" si="26"/>
        <v>4230200750.16</v>
      </c>
      <c r="J239" s="74">
        <f t="shared" si="27"/>
        <v>1</v>
      </c>
      <c r="K239" s="74"/>
      <c r="L239" s="74"/>
    </row>
    <row r="240" spans="1:12">
      <c r="A240" s="74">
        <v>213</v>
      </c>
      <c r="B240" s="45">
        <v>52505</v>
      </c>
      <c r="C240" s="46">
        <f t="shared" si="20"/>
        <v>54937672.08</v>
      </c>
      <c r="D240" s="46" t="e">
        <f t="shared" si="21"/>
        <v>#NUM!</v>
      </c>
      <c r="E240" s="46" t="e">
        <f t="shared" si="22"/>
        <v>#NUM!</v>
      </c>
      <c r="F240" s="46" t="e">
        <f t="shared" si="23"/>
        <v>#NUM!</v>
      </c>
      <c r="G240" s="46" t="e">
        <f t="shared" si="24"/>
        <v>#NUM!</v>
      </c>
      <c r="H240" s="46">
        <f t="shared" si="25"/>
        <v>17564736194.5601</v>
      </c>
      <c r="I240" s="46">
        <f t="shared" si="26"/>
        <v>4285138422.24</v>
      </c>
      <c r="J240" s="74">
        <f t="shared" si="27"/>
        <v>1</v>
      </c>
      <c r="K240" s="74"/>
      <c r="L240" s="74"/>
    </row>
    <row r="241" spans="1:12">
      <c r="A241" s="74">
        <v>214</v>
      </c>
      <c r="B241" s="45">
        <v>52536</v>
      </c>
      <c r="C241" s="46">
        <f t="shared" si="20"/>
        <v>54937672.08</v>
      </c>
      <c r="D241" s="46" t="e">
        <f t="shared" si="21"/>
        <v>#NUM!</v>
      </c>
      <c r="E241" s="46" t="e">
        <f t="shared" si="22"/>
        <v>#NUM!</v>
      </c>
      <c r="F241" s="46" t="e">
        <f t="shared" si="23"/>
        <v>#NUM!</v>
      </c>
      <c r="G241" s="46" t="e">
        <f t="shared" si="24"/>
        <v>#NUM!</v>
      </c>
      <c r="H241" s="46">
        <f t="shared" si="25"/>
        <v>17509798522.4801</v>
      </c>
      <c r="I241" s="46">
        <f t="shared" si="26"/>
        <v>4340076094.32</v>
      </c>
      <c r="J241" s="74">
        <f t="shared" si="27"/>
        <v>1</v>
      </c>
      <c r="K241" s="74"/>
      <c r="L241" s="74"/>
    </row>
    <row r="242" spans="1:12">
      <c r="A242" s="74">
        <v>215</v>
      </c>
      <c r="B242" s="45">
        <v>52566</v>
      </c>
      <c r="C242" s="46">
        <f t="shared" si="20"/>
        <v>54937672.08</v>
      </c>
      <c r="D242" s="46" t="e">
        <f t="shared" si="21"/>
        <v>#NUM!</v>
      </c>
      <c r="E242" s="46" t="e">
        <f t="shared" si="22"/>
        <v>#NUM!</v>
      </c>
      <c r="F242" s="46" t="e">
        <f t="shared" si="23"/>
        <v>#NUM!</v>
      </c>
      <c r="G242" s="46" t="e">
        <f t="shared" si="24"/>
        <v>#NUM!</v>
      </c>
      <c r="H242" s="46">
        <f t="shared" si="25"/>
        <v>17454860850.4001</v>
      </c>
      <c r="I242" s="46">
        <f t="shared" si="26"/>
        <v>4395013766.4</v>
      </c>
      <c r="J242" s="74">
        <f t="shared" si="27"/>
        <v>1</v>
      </c>
      <c r="K242" s="74"/>
      <c r="L242" s="74"/>
    </row>
    <row r="243" spans="1:12">
      <c r="A243" s="74">
        <v>216</v>
      </c>
      <c r="B243" s="45">
        <v>52597</v>
      </c>
      <c r="C243" s="46">
        <f t="shared" si="20"/>
        <v>54937672.08</v>
      </c>
      <c r="D243" s="46" t="e">
        <f t="shared" si="21"/>
        <v>#NUM!</v>
      </c>
      <c r="E243" s="46" t="e">
        <f t="shared" si="22"/>
        <v>#NUM!</v>
      </c>
      <c r="F243" s="46" t="e">
        <f t="shared" si="23"/>
        <v>#NUM!</v>
      </c>
      <c r="G243" s="46" t="e">
        <f t="shared" si="24"/>
        <v>#NUM!</v>
      </c>
      <c r="H243" s="46">
        <f t="shared" si="25"/>
        <v>17399923178.3201</v>
      </c>
      <c r="I243" s="46">
        <f t="shared" si="26"/>
        <v>4449951438.48</v>
      </c>
      <c r="J243" s="74">
        <f t="shared" si="27"/>
        <v>1</v>
      </c>
      <c r="K243" s="74"/>
      <c r="L243" s="74"/>
    </row>
    <row r="244" spans="1:12">
      <c r="A244" s="74">
        <v>217</v>
      </c>
      <c r="B244" s="45">
        <v>52628</v>
      </c>
      <c r="C244" s="46">
        <f t="shared" si="20"/>
        <v>54937672.08</v>
      </c>
      <c r="D244" s="46" t="e">
        <f t="shared" si="21"/>
        <v>#NUM!</v>
      </c>
      <c r="E244" s="46" t="e">
        <f t="shared" si="22"/>
        <v>#NUM!</v>
      </c>
      <c r="F244" s="46" t="e">
        <f t="shared" si="23"/>
        <v>#NUM!</v>
      </c>
      <c r="G244" s="46" t="e">
        <f t="shared" si="24"/>
        <v>#NUM!</v>
      </c>
      <c r="H244" s="46">
        <f t="shared" si="25"/>
        <v>17344985506.2401</v>
      </c>
      <c r="I244" s="46">
        <f t="shared" si="26"/>
        <v>4504889110.56</v>
      </c>
      <c r="J244" s="74">
        <f t="shared" si="27"/>
        <v>1</v>
      </c>
      <c r="K244" s="74"/>
      <c r="L244" s="74"/>
    </row>
    <row r="245" spans="1:12">
      <c r="A245" s="74">
        <v>218</v>
      </c>
      <c r="B245" s="45">
        <v>52657</v>
      </c>
      <c r="C245" s="46">
        <f t="shared" si="20"/>
        <v>54937672.08</v>
      </c>
      <c r="D245" s="46" t="e">
        <f t="shared" si="21"/>
        <v>#NUM!</v>
      </c>
      <c r="E245" s="46" t="e">
        <f t="shared" si="22"/>
        <v>#NUM!</v>
      </c>
      <c r="F245" s="46" t="e">
        <f t="shared" si="23"/>
        <v>#NUM!</v>
      </c>
      <c r="G245" s="46" t="e">
        <f t="shared" si="24"/>
        <v>#NUM!</v>
      </c>
      <c r="H245" s="46">
        <f t="shared" si="25"/>
        <v>17290047834.1601</v>
      </c>
      <c r="I245" s="46">
        <f t="shared" si="26"/>
        <v>4559826782.64</v>
      </c>
      <c r="J245" s="74">
        <f t="shared" si="27"/>
        <v>1</v>
      </c>
      <c r="K245" s="74"/>
      <c r="L245" s="74"/>
    </row>
    <row r="246" spans="1:12">
      <c r="A246" s="74">
        <v>219</v>
      </c>
      <c r="B246" s="45">
        <v>52688</v>
      </c>
      <c r="C246" s="46">
        <f t="shared" si="20"/>
        <v>54937672.08</v>
      </c>
      <c r="D246" s="46" t="e">
        <f t="shared" si="21"/>
        <v>#NUM!</v>
      </c>
      <c r="E246" s="46" t="e">
        <f t="shared" si="22"/>
        <v>#NUM!</v>
      </c>
      <c r="F246" s="46" t="e">
        <f t="shared" si="23"/>
        <v>#NUM!</v>
      </c>
      <c r="G246" s="46" t="e">
        <f t="shared" si="24"/>
        <v>#NUM!</v>
      </c>
      <c r="H246" s="46">
        <f t="shared" si="25"/>
        <v>17235110162.0801</v>
      </c>
      <c r="I246" s="46">
        <f t="shared" si="26"/>
        <v>4614764454.72</v>
      </c>
      <c r="J246" s="74">
        <f t="shared" si="27"/>
        <v>1</v>
      </c>
      <c r="K246" s="74"/>
      <c r="L246" s="74"/>
    </row>
    <row r="247" spans="1:12">
      <c r="A247" s="74">
        <v>220</v>
      </c>
      <c r="B247" s="45">
        <v>52718</v>
      </c>
      <c r="C247" s="46">
        <f t="shared" si="20"/>
        <v>54937672.08</v>
      </c>
      <c r="D247" s="46" t="e">
        <f t="shared" si="21"/>
        <v>#NUM!</v>
      </c>
      <c r="E247" s="46" t="e">
        <f t="shared" si="22"/>
        <v>#NUM!</v>
      </c>
      <c r="F247" s="46" t="e">
        <f t="shared" si="23"/>
        <v>#NUM!</v>
      </c>
      <c r="G247" s="46" t="e">
        <f t="shared" si="24"/>
        <v>#NUM!</v>
      </c>
      <c r="H247" s="46">
        <f t="shared" si="25"/>
        <v>17180172490.0001</v>
      </c>
      <c r="I247" s="46">
        <f t="shared" si="26"/>
        <v>4669702126.8</v>
      </c>
      <c r="J247" s="74">
        <f t="shared" si="27"/>
        <v>1</v>
      </c>
      <c r="K247" s="74"/>
      <c r="L247" s="74"/>
    </row>
    <row r="248" spans="1:12">
      <c r="A248" s="74">
        <v>221</v>
      </c>
      <c r="B248" s="45">
        <v>52749</v>
      </c>
      <c r="C248" s="46">
        <f t="shared" si="20"/>
        <v>54937672.08</v>
      </c>
      <c r="D248" s="46" t="e">
        <f t="shared" si="21"/>
        <v>#NUM!</v>
      </c>
      <c r="E248" s="46" t="e">
        <f t="shared" si="22"/>
        <v>#NUM!</v>
      </c>
      <c r="F248" s="46" t="e">
        <f t="shared" si="23"/>
        <v>#NUM!</v>
      </c>
      <c r="G248" s="46" t="e">
        <f t="shared" si="24"/>
        <v>#NUM!</v>
      </c>
      <c r="H248" s="46">
        <f t="shared" si="25"/>
        <v>17125234817.9201</v>
      </c>
      <c r="I248" s="46">
        <f t="shared" si="26"/>
        <v>4724639798.88</v>
      </c>
      <c r="J248" s="74">
        <f t="shared" si="27"/>
        <v>1</v>
      </c>
      <c r="K248" s="74"/>
      <c r="L248" s="74"/>
    </row>
    <row r="249" spans="1:12">
      <c r="A249" s="74">
        <v>222</v>
      </c>
      <c r="B249" s="45">
        <v>52779</v>
      </c>
      <c r="C249" s="46">
        <f t="shared" si="20"/>
        <v>54937672.08</v>
      </c>
      <c r="D249" s="46" t="e">
        <f t="shared" si="21"/>
        <v>#NUM!</v>
      </c>
      <c r="E249" s="46" t="e">
        <f t="shared" si="22"/>
        <v>#NUM!</v>
      </c>
      <c r="F249" s="46" t="e">
        <f t="shared" si="23"/>
        <v>#NUM!</v>
      </c>
      <c r="G249" s="46" t="e">
        <f t="shared" si="24"/>
        <v>#NUM!</v>
      </c>
      <c r="H249" s="46">
        <f t="shared" si="25"/>
        <v>17070297145.8401</v>
      </c>
      <c r="I249" s="46">
        <f t="shared" si="26"/>
        <v>4779577470.96</v>
      </c>
      <c r="J249" s="74">
        <f t="shared" si="27"/>
        <v>1</v>
      </c>
      <c r="K249" s="74"/>
      <c r="L249" s="74"/>
    </row>
    <row r="250" spans="1:12">
      <c r="A250" s="74">
        <v>223</v>
      </c>
      <c r="B250" s="45">
        <v>52810</v>
      </c>
      <c r="C250" s="46">
        <f t="shared" si="20"/>
        <v>54937672.08</v>
      </c>
      <c r="D250" s="46" t="e">
        <f t="shared" si="21"/>
        <v>#NUM!</v>
      </c>
      <c r="E250" s="46" t="e">
        <f t="shared" si="22"/>
        <v>#NUM!</v>
      </c>
      <c r="F250" s="46" t="e">
        <f t="shared" si="23"/>
        <v>#NUM!</v>
      </c>
      <c r="G250" s="46" t="e">
        <f t="shared" si="24"/>
        <v>#NUM!</v>
      </c>
      <c r="H250" s="46">
        <f t="shared" si="25"/>
        <v>17015359473.7601</v>
      </c>
      <c r="I250" s="46">
        <f t="shared" si="26"/>
        <v>4834515143.04</v>
      </c>
      <c r="J250" s="74">
        <f t="shared" si="27"/>
        <v>1</v>
      </c>
      <c r="K250" s="74"/>
      <c r="L250" s="74"/>
    </row>
    <row r="251" spans="1:12">
      <c r="A251" s="74">
        <v>224</v>
      </c>
      <c r="B251" s="45">
        <v>52841</v>
      </c>
      <c r="C251" s="46">
        <f t="shared" si="20"/>
        <v>54937672.08</v>
      </c>
      <c r="D251" s="46" t="e">
        <f t="shared" si="21"/>
        <v>#NUM!</v>
      </c>
      <c r="E251" s="46" t="e">
        <f t="shared" si="22"/>
        <v>#NUM!</v>
      </c>
      <c r="F251" s="46" t="e">
        <f t="shared" si="23"/>
        <v>#NUM!</v>
      </c>
      <c r="G251" s="46" t="e">
        <f t="shared" si="24"/>
        <v>#NUM!</v>
      </c>
      <c r="H251" s="46">
        <f t="shared" si="25"/>
        <v>16960421801.6801</v>
      </c>
      <c r="I251" s="46">
        <f t="shared" si="26"/>
        <v>4889452815.12</v>
      </c>
      <c r="J251" s="74">
        <f t="shared" si="27"/>
        <v>1</v>
      </c>
      <c r="K251" s="74"/>
      <c r="L251" s="74"/>
    </row>
    <row r="252" spans="1:12">
      <c r="A252" s="74">
        <v>225</v>
      </c>
      <c r="B252" s="45">
        <v>52871</v>
      </c>
      <c r="C252" s="46">
        <f t="shared" si="20"/>
        <v>54937672.08</v>
      </c>
      <c r="D252" s="46" t="e">
        <f t="shared" si="21"/>
        <v>#NUM!</v>
      </c>
      <c r="E252" s="46" t="e">
        <f t="shared" si="22"/>
        <v>#NUM!</v>
      </c>
      <c r="F252" s="46" t="e">
        <f t="shared" si="23"/>
        <v>#NUM!</v>
      </c>
      <c r="G252" s="46" t="e">
        <f t="shared" si="24"/>
        <v>#NUM!</v>
      </c>
      <c r="H252" s="46">
        <f t="shared" si="25"/>
        <v>16905484129.6001</v>
      </c>
      <c r="I252" s="46">
        <f t="shared" si="26"/>
        <v>4944390487.2</v>
      </c>
      <c r="J252" s="74">
        <f t="shared" si="27"/>
        <v>1</v>
      </c>
      <c r="K252" s="74"/>
      <c r="L252" s="74"/>
    </row>
    <row r="253" spans="1:12">
      <c r="A253" s="74">
        <v>226</v>
      </c>
      <c r="B253" s="45">
        <v>52902</v>
      </c>
      <c r="C253" s="46">
        <f t="shared" si="20"/>
        <v>54937672.08</v>
      </c>
      <c r="D253" s="46" t="e">
        <f t="shared" si="21"/>
        <v>#NUM!</v>
      </c>
      <c r="E253" s="46" t="e">
        <f t="shared" si="22"/>
        <v>#NUM!</v>
      </c>
      <c r="F253" s="46" t="e">
        <f t="shared" si="23"/>
        <v>#NUM!</v>
      </c>
      <c r="G253" s="46" t="e">
        <f t="shared" si="24"/>
        <v>#NUM!</v>
      </c>
      <c r="H253" s="46">
        <f t="shared" si="25"/>
        <v>16850546457.5201</v>
      </c>
      <c r="I253" s="46">
        <f t="shared" si="26"/>
        <v>4999328159.27999</v>
      </c>
      <c r="J253" s="74">
        <f t="shared" si="27"/>
        <v>1</v>
      </c>
      <c r="K253" s="74"/>
      <c r="L253" s="74"/>
    </row>
    <row r="254" spans="1:12">
      <c r="A254" s="74">
        <v>227</v>
      </c>
      <c r="B254" s="45">
        <v>52932</v>
      </c>
      <c r="C254" s="46">
        <f t="shared" si="20"/>
        <v>54937672.08</v>
      </c>
      <c r="D254" s="46" t="e">
        <f t="shared" si="21"/>
        <v>#NUM!</v>
      </c>
      <c r="E254" s="46" t="e">
        <f t="shared" si="22"/>
        <v>#NUM!</v>
      </c>
      <c r="F254" s="46" t="e">
        <f t="shared" si="23"/>
        <v>#NUM!</v>
      </c>
      <c r="G254" s="46" t="e">
        <f t="shared" si="24"/>
        <v>#NUM!</v>
      </c>
      <c r="H254" s="46">
        <f t="shared" si="25"/>
        <v>16795608785.4401</v>
      </c>
      <c r="I254" s="46">
        <f t="shared" si="26"/>
        <v>5054265831.35999</v>
      </c>
      <c r="J254" s="74">
        <f t="shared" si="27"/>
        <v>1</v>
      </c>
      <c r="K254" s="74"/>
      <c r="L254" s="74"/>
    </row>
    <row r="255" spans="1:12">
      <c r="A255" s="74">
        <v>228</v>
      </c>
      <c r="B255" s="45">
        <v>52963</v>
      </c>
      <c r="C255" s="46">
        <f t="shared" si="20"/>
        <v>54937672.08</v>
      </c>
      <c r="D255" s="46" t="e">
        <f t="shared" si="21"/>
        <v>#NUM!</v>
      </c>
      <c r="E255" s="46" t="e">
        <f t="shared" si="22"/>
        <v>#NUM!</v>
      </c>
      <c r="F255" s="46" t="e">
        <f t="shared" si="23"/>
        <v>#NUM!</v>
      </c>
      <c r="G255" s="46" t="e">
        <f t="shared" si="24"/>
        <v>#NUM!</v>
      </c>
      <c r="H255" s="46">
        <f t="shared" si="25"/>
        <v>16740671113.3601</v>
      </c>
      <c r="I255" s="46">
        <f t="shared" si="26"/>
        <v>5109203503.43999</v>
      </c>
      <c r="J255" s="74">
        <f t="shared" si="27"/>
        <v>1</v>
      </c>
      <c r="K255" s="74"/>
      <c r="L255" s="74"/>
    </row>
    <row r="256" spans="1:12">
      <c r="A256" s="74">
        <v>229</v>
      </c>
      <c r="B256" s="45">
        <v>52994</v>
      </c>
      <c r="C256" s="46">
        <f t="shared" si="20"/>
        <v>54937672.08</v>
      </c>
      <c r="D256" s="46" t="e">
        <f t="shared" si="21"/>
        <v>#NUM!</v>
      </c>
      <c r="E256" s="46" t="e">
        <f t="shared" si="22"/>
        <v>#NUM!</v>
      </c>
      <c r="F256" s="46" t="e">
        <f t="shared" si="23"/>
        <v>#NUM!</v>
      </c>
      <c r="G256" s="46" t="e">
        <f t="shared" si="24"/>
        <v>#NUM!</v>
      </c>
      <c r="H256" s="46">
        <f t="shared" si="25"/>
        <v>16685733441.2801</v>
      </c>
      <c r="I256" s="46">
        <f t="shared" si="26"/>
        <v>5164141175.51999</v>
      </c>
      <c r="J256" s="74">
        <f t="shared" si="27"/>
        <v>1</v>
      </c>
      <c r="K256" s="74"/>
      <c r="L256" s="74"/>
    </row>
    <row r="257" spans="1:12">
      <c r="A257" s="74">
        <v>230</v>
      </c>
      <c r="B257" s="45">
        <v>53022</v>
      </c>
      <c r="C257" s="46">
        <f t="shared" si="20"/>
        <v>54937672.08</v>
      </c>
      <c r="D257" s="46" t="e">
        <f t="shared" si="21"/>
        <v>#NUM!</v>
      </c>
      <c r="E257" s="46" t="e">
        <f t="shared" si="22"/>
        <v>#NUM!</v>
      </c>
      <c r="F257" s="46" t="e">
        <f t="shared" si="23"/>
        <v>#NUM!</v>
      </c>
      <c r="G257" s="46" t="e">
        <f t="shared" si="24"/>
        <v>#NUM!</v>
      </c>
      <c r="H257" s="46">
        <f t="shared" si="25"/>
        <v>16630795769.2001</v>
      </c>
      <c r="I257" s="46">
        <f t="shared" si="26"/>
        <v>5219078847.59999</v>
      </c>
      <c r="J257" s="74">
        <f t="shared" si="27"/>
        <v>1</v>
      </c>
      <c r="K257" s="74"/>
      <c r="L257" s="74"/>
    </row>
    <row r="258" spans="1:12">
      <c r="A258" s="74">
        <v>231</v>
      </c>
      <c r="B258" s="45">
        <v>53053</v>
      </c>
      <c r="C258" s="46">
        <f t="shared" si="20"/>
        <v>54937672.08</v>
      </c>
      <c r="D258" s="46" t="e">
        <f t="shared" si="21"/>
        <v>#NUM!</v>
      </c>
      <c r="E258" s="46" t="e">
        <f t="shared" si="22"/>
        <v>#NUM!</v>
      </c>
      <c r="F258" s="46" t="e">
        <f t="shared" si="23"/>
        <v>#NUM!</v>
      </c>
      <c r="G258" s="46" t="e">
        <f t="shared" si="24"/>
        <v>#NUM!</v>
      </c>
      <c r="H258" s="46">
        <f t="shared" si="25"/>
        <v>16575858097.1201</v>
      </c>
      <c r="I258" s="46">
        <f t="shared" si="26"/>
        <v>5274016519.67999</v>
      </c>
      <c r="J258" s="74">
        <f t="shared" si="27"/>
        <v>1</v>
      </c>
      <c r="K258" s="74"/>
      <c r="L258" s="74"/>
    </row>
    <row r="259" spans="1:12">
      <c r="A259" s="74">
        <v>232</v>
      </c>
      <c r="B259" s="45">
        <v>53083</v>
      </c>
      <c r="C259" s="46">
        <f t="shared" si="20"/>
        <v>54937672.08</v>
      </c>
      <c r="D259" s="46" t="e">
        <f t="shared" si="21"/>
        <v>#NUM!</v>
      </c>
      <c r="E259" s="46" t="e">
        <f t="shared" si="22"/>
        <v>#NUM!</v>
      </c>
      <c r="F259" s="46" t="e">
        <f t="shared" si="23"/>
        <v>#NUM!</v>
      </c>
      <c r="G259" s="46" t="e">
        <f t="shared" si="24"/>
        <v>#NUM!</v>
      </c>
      <c r="H259" s="46">
        <f t="shared" si="25"/>
        <v>16520920425.0401</v>
      </c>
      <c r="I259" s="46">
        <f t="shared" si="26"/>
        <v>5328954191.75999</v>
      </c>
      <c r="J259" s="74">
        <f t="shared" si="27"/>
        <v>1</v>
      </c>
      <c r="K259" s="74"/>
      <c r="L259" s="74"/>
    </row>
    <row r="260" spans="1:12">
      <c r="A260" s="74">
        <v>233</v>
      </c>
      <c r="B260" s="45">
        <v>53114</v>
      </c>
      <c r="C260" s="46">
        <f t="shared" si="20"/>
        <v>54937672.08</v>
      </c>
      <c r="D260" s="46" t="e">
        <f t="shared" si="21"/>
        <v>#NUM!</v>
      </c>
      <c r="E260" s="46" t="e">
        <f t="shared" si="22"/>
        <v>#NUM!</v>
      </c>
      <c r="F260" s="46" t="e">
        <f t="shared" si="23"/>
        <v>#NUM!</v>
      </c>
      <c r="G260" s="46" t="e">
        <f t="shared" si="24"/>
        <v>#NUM!</v>
      </c>
      <c r="H260" s="46">
        <f t="shared" si="25"/>
        <v>16465982752.9601</v>
      </c>
      <c r="I260" s="46">
        <f t="shared" si="26"/>
        <v>5383891863.83999</v>
      </c>
      <c r="J260" s="74">
        <f t="shared" si="27"/>
        <v>1</v>
      </c>
      <c r="K260" s="74"/>
      <c r="L260" s="74"/>
    </row>
    <row r="261" spans="1:12">
      <c r="A261" s="74">
        <v>234</v>
      </c>
      <c r="B261" s="45">
        <v>53144</v>
      </c>
      <c r="C261" s="46">
        <f t="shared" si="20"/>
        <v>54937672.08</v>
      </c>
      <c r="D261" s="46" t="e">
        <f t="shared" si="21"/>
        <v>#NUM!</v>
      </c>
      <c r="E261" s="46" t="e">
        <f t="shared" si="22"/>
        <v>#NUM!</v>
      </c>
      <c r="F261" s="46" t="e">
        <f t="shared" si="23"/>
        <v>#NUM!</v>
      </c>
      <c r="G261" s="46" t="e">
        <f t="shared" si="24"/>
        <v>#NUM!</v>
      </c>
      <c r="H261" s="46">
        <f t="shared" si="25"/>
        <v>16411045080.8801</v>
      </c>
      <c r="I261" s="46">
        <f t="shared" si="26"/>
        <v>5438829535.91999</v>
      </c>
      <c r="J261" s="74">
        <f t="shared" si="27"/>
        <v>1</v>
      </c>
      <c r="K261" s="74"/>
      <c r="L261" s="74"/>
    </row>
    <row r="262" spans="1:12">
      <c r="A262" s="74">
        <v>235</v>
      </c>
      <c r="B262" s="45">
        <v>53175</v>
      </c>
      <c r="C262" s="46">
        <f t="shared" si="20"/>
        <v>54937672.08</v>
      </c>
      <c r="D262" s="46" t="e">
        <f t="shared" si="21"/>
        <v>#NUM!</v>
      </c>
      <c r="E262" s="46" t="e">
        <f t="shared" si="22"/>
        <v>#NUM!</v>
      </c>
      <c r="F262" s="46" t="e">
        <f t="shared" si="23"/>
        <v>#NUM!</v>
      </c>
      <c r="G262" s="46" t="e">
        <f t="shared" si="24"/>
        <v>#NUM!</v>
      </c>
      <c r="H262" s="46">
        <f t="shared" si="25"/>
        <v>16356107408.8001</v>
      </c>
      <c r="I262" s="46">
        <f t="shared" si="26"/>
        <v>5493767207.99999</v>
      </c>
      <c r="J262" s="74">
        <f t="shared" si="27"/>
        <v>1</v>
      </c>
      <c r="K262" s="74"/>
      <c r="L262" s="74"/>
    </row>
    <row r="263" spans="1:12">
      <c r="A263" s="74">
        <v>236</v>
      </c>
      <c r="B263" s="45">
        <v>53206</v>
      </c>
      <c r="C263" s="46">
        <f t="shared" si="20"/>
        <v>54937672.08</v>
      </c>
      <c r="D263" s="46" t="e">
        <f t="shared" si="21"/>
        <v>#NUM!</v>
      </c>
      <c r="E263" s="46" t="e">
        <f t="shared" si="22"/>
        <v>#NUM!</v>
      </c>
      <c r="F263" s="46" t="e">
        <f t="shared" si="23"/>
        <v>#NUM!</v>
      </c>
      <c r="G263" s="46" t="e">
        <f t="shared" si="24"/>
        <v>#NUM!</v>
      </c>
      <c r="H263" s="46">
        <f t="shared" si="25"/>
        <v>16301169736.7201</v>
      </c>
      <c r="I263" s="46">
        <f t="shared" si="26"/>
        <v>5548704880.07999</v>
      </c>
      <c r="J263" s="74">
        <f t="shared" si="27"/>
        <v>1</v>
      </c>
      <c r="K263" s="74"/>
      <c r="L263" s="74"/>
    </row>
    <row r="264" spans="1:12">
      <c r="A264" s="74">
        <v>237</v>
      </c>
      <c r="B264" s="45">
        <v>53236</v>
      </c>
      <c r="C264" s="46">
        <f t="shared" si="20"/>
        <v>54937672.08</v>
      </c>
      <c r="D264" s="46" t="e">
        <f t="shared" si="21"/>
        <v>#NUM!</v>
      </c>
      <c r="E264" s="46" t="e">
        <f t="shared" si="22"/>
        <v>#NUM!</v>
      </c>
      <c r="F264" s="46" t="e">
        <f t="shared" si="23"/>
        <v>#NUM!</v>
      </c>
      <c r="G264" s="46" t="e">
        <f t="shared" si="24"/>
        <v>#NUM!</v>
      </c>
      <c r="H264" s="46">
        <f t="shared" si="25"/>
        <v>16246232064.6401</v>
      </c>
      <c r="I264" s="46">
        <f t="shared" si="26"/>
        <v>5603642552.15999</v>
      </c>
      <c r="J264" s="74">
        <f t="shared" si="27"/>
        <v>1</v>
      </c>
      <c r="K264" s="74"/>
      <c r="L264" s="74"/>
    </row>
    <row r="265" spans="1:12">
      <c r="A265" s="74">
        <v>238</v>
      </c>
      <c r="B265" s="45">
        <v>53267</v>
      </c>
      <c r="C265" s="46">
        <f t="shared" si="20"/>
        <v>54937672.08</v>
      </c>
      <c r="D265" s="46" t="e">
        <f t="shared" si="21"/>
        <v>#NUM!</v>
      </c>
      <c r="E265" s="46" t="e">
        <f t="shared" si="22"/>
        <v>#NUM!</v>
      </c>
      <c r="F265" s="46" t="e">
        <f t="shared" si="23"/>
        <v>#NUM!</v>
      </c>
      <c r="G265" s="46" t="e">
        <f t="shared" si="24"/>
        <v>#NUM!</v>
      </c>
      <c r="H265" s="46">
        <f t="shared" si="25"/>
        <v>16191294392.5601</v>
      </c>
      <c r="I265" s="46">
        <f t="shared" si="26"/>
        <v>5658580224.23999</v>
      </c>
      <c r="J265" s="74">
        <f t="shared" si="27"/>
        <v>1</v>
      </c>
      <c r="K265" s="74"/>
      <c r="L265" s="74"/>
    </row>
    <row r="266" spans="1:12">
      <c r="A266" s="74">
        <v>239</v>
      </c>
      <c r="B266" s="45">
        <v>53297</v>
      </c>
      <c r="C266" s="46">
        <f t="shared" si="20"/>
        <v>54937672.08</v>
      </c>
      <c r="D266" s="46" t="e">
        <f t="shared" si="21"/>
        <v>#NUM!</v>
      </c>
      <c r="E266" s="46" t="e">
        <f t="shared" si="22"/>
        <v>#NUM!</v>
      </c>
      <c r="F266" s="46" t="e">
        <f t="shared" si="23"/>
        <v>#NUM!</v>
      </c>
      <c r="G266" s="46" t="e">
        <f t="shared" si="24"/>
        <v>#NUM!</v>
      </c>
      <c r="H266" s="46">
        <f t="shared" si="25"/>
        <v>16136356720.4801</v>
      </c>
      <c r="I266" s="46">
        <f t="shared" si="26"/>
        <v>5713517896.31999</v>
      </c>
      <c r="J266" s="74">
        <f t="shared" si="27"/>
        <v>1</v>
      </c>
      <c r="K266" s="74"/>
      <c r="L266" s="74"/>
    </row>
    <row r="267" spans="1:12">
      <c r="A267" s="74">
        <v>240</v>
      </c>
      <c r="B267" s="45">
        <v>53328</v>
      </c>
      <c r="C267" s="46">
        <f t="shared" si="20"/>
        <v>54937672.08</v>
      </c>
      <c r="D267" s="46" t="e">
        <f t="shared" si="21"/>
        <v>#NUM!</v>
      </c>
      <c r="E267" s="46" t="e">
        <f t="shared" si="22"/>
        <v>#NUM!</v>
      </c>
      <c r="F267" s="46" t="e">
        <f t="shared" si="23"/>
        <v>#NUM!</v>
      </c>
      <c r="G267" s="46" t="e">
        <f t="shared" si="24"/>
        <v>#NUM!</v>
      </c>
      <c r="H267" s="46">
        <f t="shared" si="25"/>
        <v>16081419048.4001</v>
      </c>
      <c r="I267" s="46">
        <f t="shared" si="26"/>
        <v>5768455568.39999</v>
      </c>
      <c r="J267" s="74">
        <f t="shared" si="27"/>
        <v>1</v>
      </c>
      <c r="K267" s="74"/>
      <c r="L267" s="74"/>
    </row>
    <row r="268" spans="1:12">
      <c r="A268" s="74">
        <v>241</v>
      </c>
      <c r="B268" s="45">
        <v>53359</v>
      </c>
      <c r="C268" s="46">
        <f t="shared" si="20"/>
        <v>54937672.08</v>
      </c>
      <c r="D268" s="46" t="e">
        <f t="shared" si="21"/>
        <v>#NUM!</v>
      </c>
      <c r="E268" s="46" t="e">
        <f t="shared" si="22"/>
        <v>#NUM!</v>
      </c>
      <c r="F268" s="46" t="e">
        <f t="shared" si="23"/>
        <v>#NUM!</v>
      </c>
      <c r="G268" s="46" t="e">
        <f t="shared" si="24"/>
        <v>#NUM!</v>
      </c>
      <c r="H268" s="46">
        <f t="shared" si="25"/>
        <v>16026481376.3201</v>
      </c>
      <c r="I268" s="46">
        <f t="shared" si="26"/>
        <v>5823393240.47999</v>
      </c>
      <c r="J268" s="74">
        <f t="shared" si="27"/>
        <v>1</v>
      </c>
      <c r="K268" s="74"/>
      <c r="L268" s="74"/>
    </row>
    <row r="269" spans="1:12">
      <c r="A269" s="74">
        <v>242</v>
      </c>
      <c r="B269" s="45">
        <v>53387</v>
      </c>
      <c r="C269" s="46">
        <f t="shared" si="20"/>
        <v>54937672.08</v>
      </c>
      <c r="D269" s="46" t="e">
        <f t="shared" si="21"/>
        <v>#NUM!</v>
      </c>
      <c r="E269" s="46" t="e">
        <f t="shared" si="22"/>
        <v>#NUM!</v>
      </c>
      <c r="F269" s="46" t="e">
        <f t="shared" si="23"/>
        <v>#NUM!</v>
      </c>
      <c r="G269" s="46" t="e">
        <f t="shared" si="24"/>
        <v>#NUM!</v>
      </c>
      <c r="H269" s="46">
        <f t="shared" si="25"/>
        <v>15971543704.2401</v>
      </c>
      <c r="I269" s="46">
        <f t="shared" si="26"/>
        <v>5878330912.55999</v>
      </c>
      <c r="J269" s="74">
        <f t="shared" si="27"/>
        <v>1</v>
      </c>
      <c r="K269" s="74"/>
      <c r="L269" s="74"/>
    </row>
    <row r="270" spans="1:12">
      <c r="A270" s="74">
        <v>243</v>
      </c>
      <c r="B270" s="45">
        <v>53418</v>
      </c>
      <c r="C270" s="46">
        <f t="shared" si="20"/>
        <v>54937672.08</v>
      </c>
      <c r="D270" s="46" t="e">
        <f t="shared" si="21"/>
        <v>#NUM!</v>
      </c>
      <c r="E270" s="46" t="e">
        <f t="shared" si="22"/>
        <v>#NUM!</v>
      </c>
      <c r="F270" s="46" t="e">
        <f t="shared" si="23"/>
        <v>#NUM!</v>
      </c>
      <c r="G270" s="46" t="e">
        <f t="shared" si="24"/>
        <v>#NUM!</v>
      </c>
      <c r="H270" s="46">
        <f t="shared" si="25"/>
        <v>15916606032.1601</v>
      </c>
      <c r="I270" s="46">
        <f t="shared" si="26"/>
        <v>5933268584.63999</v>
      </c>
      <c r="J270" s="74">
        <f t="shared" si="27"/>
        <v>1</v>
      </c>
      <c r="K270" s="74"/>
      <c r="L270" s="74"/>
    </row>
    <row r="271" spans="1:12">
      <c r="A271" s="74">
        <v>244</v>
      </c>
      <c r="B271" s="45">
        <v>53448</v>
      </c>
      <c r="C271" s="46">
        <f t="shared" si="20"/>
        <v>54937672.08</v>
      </c>
      <c r="D271" s="46" t="e">
        <f t="shared" si="21"/>
        <v>#NUM!</v>
      </c>
      <c r="E271" s="46" t="e">
        <f t="shared" si="22"/>
        <v>#NUM!</v>
      </c>
      <c r="F271" s="46" t="e">
        <f t="shared" si="23"/>
        <v>#NUM!</v>
      </c>
      <c r="G271" s="46" t="e">
        <f t="shared" si="24"/>
        <v>#NUM!</v>
      </c>
      <c r="H271" s="46">
        <f t="shared" si="25"/>
        <v>15861668360.0801</v>
      </c>
      <c r="I271" s="46">
        <f t="shared" si="26"/>
        <v>5988206256.71999</v>
      </c>
      <c r="J271" s="74">
        <f t="shared" si="27"/>
        <v>1</v>
      </c>
      <c r="K271" s="74"/>
      <c r="L271" s="74"/>
    </row>
    <row r="272" spans="1:12">
      <c r="A272" s="74">
        <v>245</v>
      </c>
      <c r="B272" s="45">
        <v>53479</v>
      </c>
      <c r="C272" s="46">
        <f t="shared" si="20"/>
        <v>54937672.08</v>
      </c>
      <c r="D272" s="46" t="e">
        <f t="shared" si="21"/>
        <v>#NUM!</v>
      </c>
      <c r="E272" s="46" t="e">
        <f t="shared" si="22"/>
        <v>#NUM!</v>
      </c>
      <c r="F272" s="46" t="e">
        <f t="shared" si="23"/>
        <v>#NUM!</v>
      </c>
      <c r="G272" s="46" t="e">
        <f t="shared" si="24"/>
        <v>#NUM!</v>
      </c>
      <c r="H272" s="46">
        <f t="shared" si="25"/>
        <v>15806730688.0001</v>
      </c>
      <c r="I272" s="46">
        <f t="shared" si="26"/>
        <v>6043143928.79999</v>
      </c>
      <c r="J272" s="74">
        <f t="shared" si="27"/>
        <v>1</v>
      </c>
      <c r="K272" s="74"/>
      <c r="L272" s="74"/>
    </row>
    <row r="273" spans="1:12">
      <c r="A273" s="74">
        <v>246</v>
      </c>
      <c r="B273" s="45">
        <v>53509</v>
      </c>
      <c r="C273" s="46">
        <f t="shared" si="20"/>
        <v>54937672.08</v>
      </c>
      <c r="D273" s="46" t="e">
        <f t="shared" si="21"/>
        <v>#NUM!</v>
      </c>
      <c r="E273" s="46" t="e">
        <f t="shared" si="22"/>
        <v>#NUM!</v>
      </c>
      <c r="F273" s="46" t="e">
        <f t="shared" si="23"/>
        <v>#NUM!</v>
      </c>
      <c r="G273" s="46" t="e">
        <f t="shared" si="24"/>
        <v>#NUM!</v>
      </c>
      <c r="H273" s="46">
        <f t="shared" si="25"/>
        <v>15751793015.9201</v>
      </c>
      <c r="I273" s="46">
        <f t="shared" si="26"/>
        <v>6098081600.87999</v>
      </c>
      <c r="J273" s="74">
        <f t="shared" si="27"/>
        <v>1</v>
      </c>
      <c r="K273" s="74"/>
      <c r="L273" s="74"/>
    </row>
    <row r="274" spans="1:12">
      <c r="A274" s="74">
        <v>247</v>
      </c>
      <c r="B274" s="45">
        <v>53540</v>
      </c>
      <c r="C274" s="46">
        <f t="shared" si="20"/>
        <v>54937672.08</v>
      </c>
      <c r="D274" s="46" t="e">
        <f t="shared" si="21"/>
        <v>#NUM!</v>
      </c>
      <c r="E274" s="46" t="e">
        <f t="shared" si="22"/>
        <v>#NUM!</v>
      </c>
      <c r="F274" s="46" t="e">
        <f t="shared" si="23"/>
        <v>#NUM!</v>
      </c>
      <c r="G274" s="46" t="e">
        <f t="shared" si="24"/>
        <v>#NUM!</v>
      </c>
      <c r="H274" s="46">
        <f t="shared" si="25"/>
        <v>15696855343.8401</v>
      </c>
      <c r="I274" s="46">
        <f t="shared" si="26"/>
        <v>6153019272.95999</v>
      </c>
      <c r="J274" s="74">
        <f t="shared" si="27"/>
        <v>1</v>
      </c>
      <c r="K274" s="74"/>
      <c r="L274" s="74"/>
    </row>
    <row r="275" spans="1:12">
      <c r="A275" s="74">
        <v>248</v>
      </c>
      <c r="B275" s="45">
        <v>53571</v>
      </c>
      <c r="C275" s="46">
        <f t="shared" si="20"/>
        <v>54937672.08</v>
      </c>
      <c r="D275" s="46" t="e">
        <f t="shared" si="21"/>
        <v>#NUM!</v>
      </c>
      <c r="E275" s="46" t="e">
        <f t="shared" si="22"/>
        <v>#NUM!</v>
      </c>
      <c r="F275" s="46" t="e">
        <f t="shared" si="23"/>
        <v>#NUM!</v>
      </c>
      <c r="G275" s="46" t="e">
        <f t="shared" si="24"/>
        <v>#NUM!</v>
      </c>
      <c r="H275" s="46">
        <f t="shared" si="25"/>
        <v>15641917671.7601</v>
      </c>
      <c r="I275" s="46">
        <f t="shared" si="26"/>
        <v>6207956945.03999</v>
      </c>
      <c r="J275" s="74">
        <f t="shared" si="27"/>
        <v>1</v>
      </c>
      <c r="K275" s="74"/>
      <c r="L275" s="74"/>
    </row>
    <row r="276" spans="1:12">
      <c r="A276" s="74">
        <v>249</v>
      </c>
      <c r="B276" s="45">
        <v>53601</v>
      </c>
      <c r="C276" s="46">
        <f t="shared" si="20"/>
        <v>54937672.08</v>
      </c>
      <c r="D276" s="46" t="e">
        <f t="shared" si="21"/>
        <v>#NUM!</v>
      </c>
      <c r="E276" s="46" t="e">
        <f t="shared" si="22"/>
        <v>#NUM!</v>
      </c>
      <c r="F276" s="46" t="e">
        <f t="shared" si="23"/>
        <v>#NUM!</v>
      </c>
      <c r="G276" s="46" t="e">
        <f t="shared" si="24"/>
        <v>#NUM!</v>
      </c>
      <c r="H276" s="46">
        <f t="shared" si="25"/>
        <v>15586979999.6801</v>
      </c>
      <c r="I276" s="46">
        <f t="shared" si="26"/>
        <v>6262894617.11999</v>
      </c>
      <c r="J276" s="74">
        <f t="shared" si="27"/>
        <v>1</v>
      </c>
      <c r="K276" s="74"/>
      <c r="L276" s="74"/>
    </row>
    <row r="277" spans="1:12">
      <c r="A277" s="74">
        <v>250</v>
      </c>
      <c r="B277" s="45">
        <v>53632</v>
      </c>
      <c r="C277" s="46">
        <f t="shared" si="20"/>
        <v>54937672.08</v>
      </c>
      <c r="D277" s="46" t="e">
        <f t="shared" si="21"/>
        <v>#NUM!</v>
      </c>
      <c r="E277" s="46" t="e">
        <f t="shared" si="22"/>
        <v>#NUM!</v>
      </c>
      <c r="F277" s="46" t="e">
        <f t="shared" si="23"/>
        <v>#NUM!</v>
      </c>
      <c r="G277" s="46" t="e">
        <f t="shared" si="24"/>
        <v>#NUM!</v>
      </c>
      <c r="H277" s="46">
        <f t="shared" si="25"/>
        <v>15532042327.6001</v>
      </c>
      <c r="I277" s="46">
        <f t="shared" si="26"/>
        <v>6317832289.19999</v>
      </c>
      <c r="J277" s="74">
        <f t="shared" si="27"/>
        <v>1</v>
      </c>
      <c r="K277" s="74"/>
      <c r="L277" s="74"/>
    </row>
    <row r="278" spans="1:12">
      <c r="A278" s="74">
        <v>251</v>
      </c>
      <c r="B278" s="45">
        <v>53662</v>
      </c>
      <c r="C278" s="46">
        <f t="shared" si="20"/>
        <v>54937672.08</v>
      </c>
      <c r="D278" s="46" t="e">
        <f t="shared" si="21"/>
        <v>#NUM!</v>
      </c>
      <c r="E278" s="46" t="e">
        <f t="shared" si="22"/>
        <v>#NUM!</v>
      </c>
      <c r="F278" s="46" t="e">
        <f t="shared" si="23"/>
        <v>#NUM!</v>
      </c>
      <c r="G278" s="46" t="e">
        <f t="shared" si="24"/>
        <v>#NUM!</v>
      </c>
      <c r="H278" s="46">
        <f t="shared" si="25"/>
        <v>15477104655.5201</v>
      </c>
      <c r="I278" s="46">
        <f t="shared" si="26"/>
        <v>6372769961.27999</v>
      </c>
      <c r="J278" s="74">
        <f t="shared" si="27"/>
        <v>1</v>
      </c>
      <c r="K278" s="74"/>
      <c r="L278" s="74"/>
    </row>
    <row r="279" spans="1:12">
      <c r="A279" s="74">
        <v>252</v>
      </c>
      <c r="B279" s="45">
        <v>53693</v>
      </c>
      <c r="C279" s="46">
        <f t="shared" si="20"/>
        <v>54937672.08</v>
      </c>
      <c r="D279" s="46" t="e">
        <f t="shared" si="21"/>
        <v>#NUM!</v>
      </c>
      <c r="E279" s="46" t="e">
        <f t="shared" si="22"/>
        <v>#NUM!</v>
      </c>
      <c r="F279" s="46" t="e">
        <f t="shared" si="23"/>
        <v>#NUM!</v>
      </c>
      <c r="G279" s="46" t="e">
        <f t="shared" si="24"/>
        <v>#NUM!</v>
      </c>
      <c r="H279" s="46">
        <f t="shared" si="25"/>
        <v>15422166983.4401</v>
      </c>
      <c r="I279" s="46">
        <f t="shared" si="26"/>
        <v>6427707633.35999</v>
      </c>
      <c r="J279" s="74">
        <f t="shared" si="27"/>
        <v>1</v>
      </c>
      <c r="K279" s="74"/>
      <c r="L279" s="74"/>
    </row>
    <row r="280" spans="1:12">
      <c r="A280" s="74">
        <v>253</v>
      </c>
      <c r="B280" s="45">
        <v>53724</v>
      </c>
      <c r="C280" s="46">
        <f t="shared" si="20"/>
        <v>54937672.08</v>
      </c>
      <c r="D280" s="46" t="e">
        <f t="shared" si="21"/>
        <v>#NUM!</v>
      </c>
      <c r="E280" s="46" t="e">
        <f t="shared" si="22"/>
        <v>#NUM!</v>
      </c>
      <c r="F280" s="46" t="e">
        <f t="shared" si="23"/>
        <v>#NUM!</v>
      </c>
      <c r="G280" s="46" t="e">
        <f t="shared" si="24"/>
        <v>#NUM!</v>
      </c>
      <c r="H280" s="46">
        <f t="shared" si="25"/>
        <v>15367229311.3601</v>
      </c>
      <c r="I280" s="46">
        <f t="shared" si="26"/>
        <v>6482645305.43999</v>
      </c>
      <c r="J280" s="74">
        <f t="shared" si="27"/>
        <v>1</v>
      </c>
      <c r="K280" s="74"/>
      <c r="L280" s="74"/>
    </row>
    <row r="281" spans="1:12">
      <c r="A281" s="74">
        <v>254</v>
      </c>
      <c r="B281" s="45">
        <v>53752</v>
      </c>
      <c r="C281" s="46">
        <f t="shared" si="20"/>
        <v>54937672.08</v>
      </c>
      <c r="D281" s="46" t="e">
        <f t="shared" si="21"/>
        <v>#NUM!</v>
      </c>
      <c r="E281" s="46" t="e">
        <f t="shared" si="22"/>
        <v>#NUM!</v>
      </c>
      <c r="F281" s="46" t="e">
        <f t="shared" si="23"/>
        <v>#NUM!</v>
      </c>
      <c r="G281" s="46" t="e">
        <f t="shared" si="24"/>
        <v>#NUM!</v>
      </c>
      <c r="H281" s="46">
        <f t="shared" si="25"/>
        <v>15312291639.2801</v>
      </c>
      <c r="I281" s="46">
        <f t="shared" si="26"/>
        <v>6537582977.51999</v>
      </c>
      <c r="J281" s="74">
        <f t="shared" si="27"/>
        <v>1</v>
      </c>
      <c r="K281" s="74"/>
      <c r="L281" s="74"/>
    </row>
    <row r="282" spans="1:12">
      <c r="A282" s="74">
        <v>255</v>
      </c>
      <c r="B282" s="45">
        <v>53783</v>
      </c>
      <c r="C282" s="46">
        <f t="shared" si="20"/>
        <v>54937672.08</v>
      </c>
      <c r="D282" s="46" t="e">
        <f t="shared" si="21"/>
        <v>#NUM!</v>
      </c>
      <c r="E282" s="46" t="e">
        <f t="shared" si="22"/>
        <v>#NUM!</v>
      </c>
      <c r="F282" s="46" t="e">
        <f t="shared" si="23"/>
        <v>#NUM!</v>
      </c>
      <c r="G282" s="46" t="e">
        <f t="shared" si="24"/>
        <v>#NUM!</v>
      </c>
      <c r="H282" s="46">
        <f t="shared" si="25"/>
        <v>15257353967.2001</v>
      </c>
      <c r="I282" s="46">
        <f t="shared" si="26"/>
        <v>6592520649.59999</v>
      </c>
      <c r="J282" s="74">
        <f t="shared" si="27"/>
        <v>1</v>
      </c>
      <c r="K282" s="74"/>
      <c r="L282" s="74"/>
    </row>
    <row r="283" spans="1:12">
      <c r="A283" s="74">
        <v>256</v>
      </c>
      <c r="B283" s="45">
        <v>53813</v>
      </c>
      <c r="C283" s="46">
        <f t="shared" si="20"/>
        <v>54937672.08</v>
      </c>
      <c r="D283" s="46" t="e">
        <f t="shared" si="21"/>
        <v>#NUM!</v>
      </c>
      <c r="E283" s="46" t="e">
        <f t="shared" si="22"/>
        <v>#NUM!</v>
      </c>
      <c r="F283" s="46" t="e">
        <f t="shared" si="23"/>
        <v>#NUM!</v>
      </c>
      <c r="G283" s="46" t="e">
        <f t="shared" si="24"/>
        <v>#NUM!</v>
      </c>
      <c r="H283" s="46">
        <f t="shared" si="25"/>
        <v>15202416295.1201</v>
      </c>
      <c r="I283" s="46">
        <f t="shared" si="26"/>
        <v>6647458321.67999</v>
      </c>
      <c r="J283" s="74">
        <f t="shared" si="27"/>
        <v>1</v>
      </c>
      <c r="K283" s="74"/>
      <c r="L283" s="74"/>
    </row>
    <row r="284" spans="1:12">
      <c r="A284" s="74">
        <v>257</v>
      </c>
      <c r="B284" s="45">
        <v>53844</v>
      </c>
      <c r="C284" s="46">
        <f t="shared" si="20"/>
        <v>54937672.08</v>
      </c>
      <c r="D284" s="46" t="e">
        <f t="shared" si="21"/>
        <v>#NUM!</v>
      </c>
      <c r="E284" s="46" t="e">
        <f t="shared" si="22"/>
        <v>#NUM!</v>
      </c>
      <c r="F284" s="46" t="e">
        <f t="shared" si="23"/>
        <v>#NUM!</v>
      </c>
      <c r="G284" s="46" t="e">
        <f t="shared" si="24"/>
        <v>#NUM!</v>
      </c>
      <c r="H284" s="46">
        <f t="shared" si="25"/>
        <v>15147478623.0401</v>
      </c>
      <c r="I284" s="46">
        <f t="shared" si="26"/>
        <v>6702395993.75999</v>
      </c>
      <c r="J284" s="74">
        <f t="shared" si="27"/>
        <v>1</v>
      </c>
      <c r="K284" s="74"/>
      <c r="L284" s="74"/>
    </row>
    <row r="285" spans="1:12">
      <c r="A285" s="74">
        <v>258</v>
      </c>
      <c r="B285" s="45">
        <v>53874</v>
      </c>
      <c r="C285" s="46">
        <f t="shared" si="20"/>
        <v>54937672.08</v>
      </c>
      <c r="D285" s="46" t="e">
        <f t="shared" si="21"/>
        <v>#NUM!</v>
      </c>
      <c r="E285" s="46" t="e">
        <f t="shared" si="22"/>
        <v>#NUM!</v>
      </c>
      <c r="F285" s="46" t="e">
        <f t="shared" si="23"/>
        <v>#NUM!</v>
      </c>
      <c r="G285" s="46" t="e">
        <f t="shared" si="24"/>
        <v>#NUM!</v>
      </c>
      <c r="H285" s="46">
        <f t="shared" si="25"/>
        <v>15092540950.9601</v>
      </c>
      <c r="I285" s="46">
        <f t="shared" si="26"/>
        <v>6757333665.83999</v>
      </c>
      <c r="J285" s="74">
        <f t="shared" si="27"/>
        <v>1</v>
      </c>
      <c r="K285" s="74"/>
      <c r="L285" s="74"/>
    </row>
    <row r="286" spans="1:12">
      <c r="A286" s="74">
        <v>259</v>
      </c>
      <c r="B286" s="45">
        <v>53905</v>
      </c>
      <c r="C286" s="46">
        <f t="shared" si="20"/>
        <v>54937672.08</v>
      </c>
      <c r="D286" s="46" t="e">
        <f t="shared" si="21"/>
        <v>#NUM!</v>
      </c>
      <c r="E286" s="46" t="e">
        <f t="shared" si="22"/>
        <v>#NUM!</v>
      </c>
      <c r="F286" s="46" t="e">
        <f t="shared" si="23"/>
        <v>#NUM!</v>
      </c>
      <c r="G286" s="46" t="e">
        <f t="shared" si="24"/>
        <v>#NUM!</v>
      </c>
      <c r="H286" s="46">
        <f t="shared" si="25"/>
        <v>15037603278.8801</v>
      </c>
      <c r="I286" s="46">
        <f t="shared" si="26"/>
        <v>6812271337.91999</v>
      </c>
      <c r="J286" s="74">
        <f t="shared" si="27"/>
        <v>1</v>
      </c>
      <c r="K286" s="74"/>
      <c r="L286" s="74"/>
    </row>
    <row r="287" spans="1:12">
      <c r="A287" s="74">
        <v>260</v>
      </c>
      <c r="B287" s="45">
        <v>53936</v>
      </c>
      <c r="C287" s="46">
        <f t="shared" si="20"/>
        <v>54937672.08</v>
      </c>
      <c r="D287" s="46" t="e">
        <f t="shared" si="21"/>
        <v>#NUM!</v>
      </c>
      <c r="E287" s="46" t="e">
        <f t="shared" si="22"/>
        <v>#NUM!</v>
      </c>
      <c r="F287" s="46" t="e">
        <f t="shared" si="23"/>
        <v>#NUM!</v>
      </c>
      <c r="G287" s="46" t="e">
        <f t="shared" si="24"/>
        <v>#NUM!</v>
      </c>
      <c r="H287" s="46">
        <f t="shared" si="25"/>
        <v>14982665606.8001</v>
      </c>
      <c r="I287" s="46">
        <f t="shared" si="26"/>
        <v>6867209009.99999</v>
      </c>
      <c r="J287" s="74">
        <f t="shared" si="27"/>
        <v>1</v>
      </c>
      <c r="K287" s="74"/>
      <c r="L287" s="74"/>
    </row>
    <row r="288" spans="1:12">
      <c r="A288" s="74">
        <v>261</v>
      </c>
      <c r="B288" s="45">
        <v>53966</v>
      </c>
      <c r="C288" s="46">
        <f t="shared" si="20"/>
        <v>54937672.08</v>
      </c>
      <c r="D288" s="46" t="e">
        <f t="shared" si="21"/>
        <v>#NUM!</v>
      </c>
      <c r="E288" s="46" t="e">
        <f t="shared" si="22"/>
        <v>#NUM!</v>
      </c>
      <c r="F288" s="46" t="e">
        <f t="shared" si="23"/>
        <v>#NUM!</v>
      </c>
      <c r="G288" s="46" t="e">
        <f t="shared" si="24"/>
        <v>#NUM!</v>
      </c>
      <c r="H288" s="46">
        <f t="shared" si="25"/>
        <v>14927727934.7201</v>
      </c>
      <c r="I288" s="46">
        <f t="shared" si="26"/>
        <v>6922146682.07999</v>
      </c>
      <c r="J288" s="74">
        <f t="shared" si="27"/>
        <v>1</v>
      </c>
      <c r="K288" s="74"/>
      <c r="L288" s="74"/>
    </row>
    <row r="289" spans="1:12">
      <c r="A289" s="74">
        <v>262</v>
      </c>
      <c r="B289" s="45">
        <v>53997</v>
      </c>
      <c r="C289" s="46">
        <f t="shared" si="20"/>
        <v>54937672.08</v>
      </c>
      <c r="D289" s="46" t="e">
        <f t="shared" si="21"/>
        <v>#NUM!</v>
      </c>
      <c r="E289" s="46" t="e">
        <f t="shared" si="22"/>
        <v>#NUM!</v>
      </c>
      <c r="F289" s="46" t="e">
        <f t="shared" si="23"/>
        <v>#NUM!</v>
      </c>
      <c r="G289" s="46" t="e">
        <f t="shared" si="24"/>
        <v>#NUM!</v>
      </c>
      <c r="H289" s="46">
        <f t="shared" si="25"/>
        <v>14872790262.6401</v>
      </c>
      <c r="I289" s="46">
        <f t="shared" si="26"/>
        <v>6977084354.15999</v>
      </c>
      <c r="J289" s="74">
        <f t="shared" si="27"/>
        <v>1</v>
      </c>
      <c r="K289" s="74"/>
      <c r="L289" s="74"/>
    </row>
    <row r="290" spans="1:12">
      <c r="A290" s="74">
        <v>263</v>
      </c>
      <c r="B290" s="45">
        <v>54027</v>
      </c>
      <c r="C290" s="46">
        <f t="shared" si="20"/>
        <v>54937672.08</v>
      </c>
      <c r="D290" s="46" t="e">
        <f t="shared" si="21"/>
        <v>#NUM!</v>
      </c>
      <c r="E290" s="46" t="e">
        <f t="shared" si="22"/>
        <v>#NUM!</v>
      </c>
      <c r="F290" s="46" t="e">
        <f t="shared" si="23"/>
        <v>#NUM!</v>
      </c>
      <c r="G290" s="46" t="e">
        <f t="shared" si="24"/>
        <v>#NUM!</v>
      </c>
      <c r="H290" s="46">
        <f t="shared" si="25"/>
        <v>14817852590.5601</v>
      </c>
      <c r="I290" s="46">
        <f t="shared" si="26"/>
        <v>7032022026.23999</v>
      </c>
      <c r="J290" s="74">
        <f t="shared" si="27"/>
        <v>1</v>
      </c>
      <c r="K290" s="74"/>
      <c r="L290" s="74"/>
    </row>
    <row r="291" spans="1:12">
      <c r="A291" s="74">
        <v>264</v>
      </c>
      <c r="B291" s="45">
        <v>54058</v>
      </c>
      <c r="C291" s="46">
        <f t="shared" ref="C291:C354" si="28">ROUND(-PMT($B$5/$B$11,$B$10,$B$4,0),2)</f>
        <v>54937672.08</v>
      </c>
      <c r="D291" s="46" t="e">
        <f t="shared" ref="D291:D354" si="29">ROUND(-PPMT($B$5/$B$11,A291,$B$10,$B$4,0),2)</f>
        <v>#NUM!</v>
      </c>
      <c r="E291" s="46" t="e">
        <f t="shared" ref="E291:E354" si="30">C291-D291</f>
        <v>#NUM!</v>
      </c>
      <c r="F291" s="46" t="e">
        <f t="shared" ref="F291:F354" si="31">D291+F290</f>
        <v>#NUM!</v>
      </c>
      <c r="G291" s="46" t="e">
        <f t="shared" ref="G291:G354" si="32">$B$4-F291</f>
        <v>#NUM!</v>
      </c>
      <c r="H291" s="46">
        <f t="shared" ref="H291:H354" si="33">SUM($C$28:$C$527)-I291</f>
        <v>14762914918.4801</v>
      </c>
      <c r="I291" s="46">
        <f t="shared" ref="I291:I354" si="34">C291+I290</f>
        <v>7086959698.31999</v>
      </c>
      <c r="J291" s="74">
        <f t="shared" ref="J291:J354" si="35">DATEDIF(B290,B291,"M")</f>
        <v>1</v>
      </c>
      <c r="K291" s="74"/>
      <c r="L291" s="74"/>
    </row>
    <row r="292" spans="1:12">
      <c r="A292" s="74">
        <v>265</v>
      </c>
      <c r="B292" s="45">
        <v>54089</v>
      </c>
      <c r="C292" s="46">
        <f t="shared" si="28"/>
        <v>54937672.08</v>
      </c>
      <c r="D292" s="46" t="e">
        <f t="shared" si="29"/>
        <v>#NUM!</v>
      </c>
      <c r="E292" s="46" t="e">
        <f t="shared" si="30"/>
        <v>#NUM!</v>
      </c>
      <c r="F292" s="46" t="e">
        <f t="shared" si="31"/>
        <v>#NUM!</v>
      </c>
      <c r="G292" s="46" t="e">
        <f t="shared" si="32"/>
        <v>#NUM!</v>
      </c>
      <c r="H292" s="46">
        <f t="shared" si="33"/>
        <v>14707977246.4001</v>
      </c>
      <c r="I292" s="46">
        <f t="shared" si="34"/>
        <v>7141897370.39999</v>
      </c>
      <c r="J292" s="74">
        <f t="shared" si="35"/>
        <v>1</v>
      </c>
      <c r="K292" s="74"/>
      <c r="L292" s="74"/>
    </row>
    <row r="293" spans="1:12">
      <c r="A293" s="74">
        <v>266</v>
      </c>
      <c r="B293" s="45">
        <v>54118</v>
      </c>
      <c r="C293" s="46">
        <f t="shared" si="28"/>
        <v>54937672.08</v>
      </c>
      <c r="D293" s="46" t="e">
        <f t="shared" si="29"/>
        <v>#NUM!</v>
      </c>
      <c r="E293" s="46" t="e">
        <f t="shared" si="30"/>
        <v>#NUM!</v>
      </c>
      <c r="F293" s="46" t="e">
        <f t="shared" si="31"/>
        <v>#NUM!</v>
      </c>
      <c r="G293" s="46" t="e">
        <f t="shared" si="32"/>
        <v>#NUM!</v>
      </c>
      <c r="H293" s="46">
        <f t="shared" si="33"/>
        <v>14653039574.3201</v>
      </c>
      <c r="I293" s="46">
        <f t="shared" si="34"/>
        <v>7196835042.47999</v>
      </c>
      <c r="J293" s="74">
        <f t="shared" si="35"/>
        <v>1</v>
      </c>
      <c r="K293" s="74"/>
      <c r="L293" s="74"/>
    </row>
    <row r="294" spans="1:12">
      <c r="A294" s="74">
        <v>267</v>
      </c>
      <c r="B294" s="45">
        <v>54149</v>
      </c>
      <c r="C294" s="46">
        <f t="shared" si="28"/>
        <v>54937672.08</v>
      </c>
      <c r="D294" s="46" t="e">
        <f t="shared" si="29"/>
        <v>#NUM!</v>
      </c>
      <c r="E294" s="46" t="e">
        <f t="shared" si="30"/>
        <v>#NUM!</v>
      </c>
      <c r="F294" s="46" t="e">
        <f t="shared" si="31"/>
        <v>#NUM!</v>
      </c>
      <c r="G294" s="46" t="e">
        <f t="shared" si="32"/>
        <v>#NUM!</v>
      </c>
      <c r="H294" s="46">
        <f t="shared" si="33"/>
        <v>14598101902.2401</v>
      </c>
      <c r="I294" s="46">
        <f t="shared" si="34"/>
        <v>7251772714.55999</v>
      </c>
      <c r="J294" s="74">
        <f t="shared" si="35"/>
        <v>1</v>
      </c>
      <c r="K294" s="74"/>
      <c r="L294" s="74"/>
    </row>
    <row r="295" spans="1:12">
      <c r="A295" s="74">
        <v>268</v>
      </c>
      <c r="B295" s="45">
        <v>54179</v>
      </c>
      <c r="C295" s="46">
        <f t="shared" si="28"/>
        <v>54937672.08</v>
      </c>
      <c r="D295" s="46" t="e">
        <f t="shared" si="29"/>
        <v>#NUM!</v>
      </c>
      <c r="E295" s="46" t="e">
        <f t="shared" si="30"/>
        <v>#NUM!</v>
      </c>
      <c r="F295" s="46" t="e">
        <f t="shared" si="31"/>
        <v>#NUM!</v>
      </c>
      <c r="G295" s="46" t="e">
        <f t="shared" si="32"/>
        <v>#NUM!</v>
      </c>
      <c r="H295" s="46">
        <f t="shared" si="33"/>
        <v>14543164230.1601</v>
      </c>
      <c r="I295" s="46">
        <f t="shared" si="34"/>
        <v>7306710386.63999</v>
      </c>
      <c r="J295" s="74">
        <f t="shared" si="35"/>
        <v>1</v>
      </c>
      <c r="K295" s="74"/>
      <c r="L295" s="74"/>
    </row>
    <row r="296" spans="1:12">
      <c r="A296" s="74">
        <v>269</v>
      </c>
      <c r="B296" s="45">
        <v>54210</v>
      </c>
      <c r="C296" s="46">
        <f t="shared" si="28"/>
        <v>54937672.08</v>
      </c>
      <c r="D296" s="46" t="e">
        <f t="shared" si="29"/>
        <v>#NUM!</v>
      </c>
      <c r="E296" s="46" t="e">
        <f t="shared" si="30"/>
        <v>#NUM!</v>
      </c>
      <c r="F296" s="46" t="e">
        <f t="shared" si="31"/>
        <v>#NUM!</v>
      </c>
      <c r="G296" s="46" t="e">
        <f t="shared" si="32"/>
        <v>#NUM!</v>
      </c>
      <c r="H296" s="46">
        <f t="shared" si="33"/>
        <v>14488226558.0801</v>
      </c>
      <c r="I296" s="46">
        <f t="shared" si="34"/>
        <v>7361648058.71999</v>
      </c>
      <c r="J296" s="74">
        <f t="shared" si="35"/>
        <v>1</v>
      </c>
      <c r="K296" s="74"/>
      <c r="L296" s="74"/>
    </row>
    <row r="297" spans="1:12">
      <c r="A297" s="74">
        <v>270</v>
      </c>
      <c r="B297" s="45">
        <v>54240</v>
      </c>
      <c r="C297" s="46">
        <f t="shared" si="28"/>
        <v>54937672.08</v>
      </c>
      <c r="D297" s="46" t="e">
        <f t="shared" si="29"/>
        <v>#NUM!</v>
      </c>
      <c r="E297" s="46" t="e">
        <f t="shared" si="30"/>
        <v>#NUM!</v>
      </c>
      <c r="F297" s="46" t="e">
        <f t="shared" si="31"/>
        <v>#NUM!</v>
      </c>
      <c r="G297" s="46" t="e">
        <f t="shared" si="32"/>
        <v>#NUM!</v>
      </c>
      <c r="H297" s="46">
        <f t="shared" si="33"/>
        <v>14433288886.0001</v>
      </c>
      <c r="I297" s="46">
        <f t="shared" si="34"/>
        <v>7416585730.79999</v>
      </c>
      <c r="J297" s="74">
        <f t="shared" si="35"/>
        <v>1</v>
      </c>
      <c r="K297" s="74"/>
      <c r="L297" s="74"/>
    </row>
    <row r="298" spans="1:12">
      <c r="A298" s="74">
        <v>271</v>
      </c>
      <c r="B298" s="45">
        <v>54271</v>
      </c>
      <c r="C298" s="46">
        <f t="shared" si="28"/>
        <v>54937672.08</v>
      </c>
      <c r="D298" s="46" t="e">
        <f t="shared" si="29"/>
        <v>#NUM!</v>
      </c>
      <c r="E298" s="46" t="e">
        <f t="shared" si="30"/>
        <v>#NUM!</v>
      </c>
      <c r="F298" s="46" t="e">
        <f t="shared" si="31"/>
        <v>#NUM!</v>
      </c>
      <c r="G298" s="46" t="e">
        <f t="shared" si="32"/>
        <v>#NUM!</v>
      </c>
      <c r="H298" s="46">
        <f t="shared" si="33"/>
        <v>14378351213.9201</v>
      </c>
      <c r="I298" s="46">
        <f t="shared" si="34"/>
        <v>7471523402.87999</v>
      </c>
      <c r="J298" s="74">
        <f t="shared" si="35"/>
        <v>1</v>
      </c>
      <c r="K298" s="74"/>
      <c r="L298" s="74"/>
    </row>
    <row r="299" spans="1:12">
      <c r="A299" s="74">
        <v>272</v>
      </c>
      <c r="B299" s="45">
        <v>54302</v>
      </c>
      <c r="C299" s="46">
        <f t="shared" si="28"/>
        <v>54937672.08</v>
      </c>
      <c r="D299" s="46" t="e">
        <f t="shared" si="29"/>
        <v>#NUM!</v>
      </c>
      <c r="E299" s="46" t="e">
        <f t="shared" si="30"/>
        <v>#NUM!</v>
      </c>
      <c r="F299" s="46" t="e">
        <f t="shared" si="31"/>
        <v>#NUM!</v>
      </c>
      <c r="G299" s="46" t="e">
        <f t="shared" si="32"/>
        <v>#NUM!</v>
      </c>
      <c r="H299" s="46">
        <f t="shared" si="33"/>
        <v>14323413541.8401</v>
      </c>
      <c r="I299" s="46">
        <f t="shared" si="34"/>
        <v>7526461074.95999</v>
      </c>
      <c r="J299" s="74">
        <f t="shared" si="35"/>
        <v>1</v>
      </c>
      <c r="K299" s="74"/>
      <c r="L299" s="74"/>
    </row>
    <row r="300" spans="1:12">
      <c r="A300" s="74">
        <v>273</v>
      </c>
      <c r="B300" s="45">
        <v>54332</v>
      </c>
      <c r="C300" s="46">
        <f t="shared" si="28"/>
        <v>54937672.08</v>
      </c>
      <c r="D300" s="46" t="e">
        <f t="shared" si="29"/>
        <v>#NUM!</v>
      </c>
      <c r="E300" s="46" t="e">
        <f t="shared" si="30"/>
        <v>#NUM!</v>
      </c>
      <c r="F300" s="46" t="e">
        <f t="shared" si="31"/>
        <v>#NUM!</v>
      </c>
      <c r="G300" s="46" t="e">
        <f t="shared" si="32"/>
        <v>#NUM!</v>
      </c>
      <c r="H300" s="46">
        <f t="shared" si="33"/>
        <v>14268475869.7601</v>
      </c>
      <c r="I300" s="46">
        <f t="shared" si="34"/>
        <v>7581398747.03999</v>
      </c>
      <c r="J300" s="74">
        <f t="shared" si="35"/>
        <v>1</v>
      </c>
      <c r="K300" s="74"/>
      <c r="L300" s="74"/>
    </row>
    <row r="301" spans="1:12">
      <c r="A301" s="74">
        <v>274</v>
      </c>
      <c r="B301" s="45">
        <v>54363</v>
      </c>
      <c r="C301" s="46">
        <f t="shared" si="28"/>
        <v>54937672.08</v>
      </c>
      <c r="D301" s="46" t="e">
        <f t="shared" si="29"/>
        <v>#NUM!</v>
      </c>
      <c r="E301" s="46" t="e">
        <f t="shared" si="30"/>
        <v>#NUM!</v>
      </c>
      <c r="F301" s="46" t="e">
        <f t="shared" si="31"/>
        <v>#NUM!</v>
      </c>
      <c r="G301" s="46" t="e">
        <f t="shared" si="32"/>
        <v>#NUM!</v>
      </c>
      <c r="H301" s="46">
        <f t="shared" si="33"/>
        <v>14213538197.6801</v>
      </c>
      <c r="I301" s="46">
        <f t="shared" si="34"/>
        <v>7636336419.11999</v>
      </c>
      <c r="J301" s="74">
        <f t="shared" si="35"/>
        <v>1</v>
      </c>
      <c r="K301" s="74"/>
      <c r="L301" s="74"/>
    </row>
    <row r="302" spans="1:12">
      <c r="A302" s="74">
        <v>275</v>
      </c>
      <c r="B302" s="45">
        <v>54393</v>
      </c>
      <c r="C302" s="46">
        <f t="shared" si="28"/>
        <v>54937672.08</v>
      </c>
      <c r="D302" s="46" t="e">
        <f t="shared" si="29"/>
        <v>#NUM!</v>
      </c>
      <c r="E302" s="46" t="e">
        <f t="shared" si="30"/>
        <v>#NUM!</v>
      </c>
      <c r="F302" s="46" t="e">
        <f t="shared" si="31"/>
        <v>#NUM!</v>
      </c>
      <c r="G302" s="46" t="e">
        <f t="shared" si="32"/>
        <v>#NUM!</v>
      </c>
      <c r="H302" s="46">
        <f t="shared" si="33"/>
        <v>14158600525.6001</v>
      </c>
      <c r="I302" s="46">
        <f t="shared" si="34"/>
        <v>7691274091.19999</v>
      </c>
      <c r="J302" s="74">
        <f t="shared" si="35"/>
        <v>1</v>
      </c>
      <c r="K302" s="74"/>
      <c r="L302" s="74"/>
    </row>
    <row r="303" spans="1:12">
      <c r="A303" s="74">
        <v>276</v>
      </c>
      <c r="B303" s="45">
        <v>54424</v>
      </c>
      <c r="C303" s="46">
        <f t="shared" si="28"/>
        <v>54937672.08</v>
      </c>
      <c r="D303" s="46" t="e">
        <f t="shared" si="29"/>
        <v>#NUM!</v>
      </c>
      <c r="E303" s="46" t="e">
        <f t="shared" si="30"/>
        <v>#NUM!</v>
      </c>
      <c r="F303" s="46" t="e">
        <f t="shared" si="31"/>
        <v>#NUM!</v>
      </c>
      <c r="G303" s="46" t="e">
        <f t="shared" si="32"/>
        <v>#NUM!</v>
      </c>
      <c r="H303" s="46">
        <f t="shared" si="33"/>
        <v>14103662853.5201</v>
      </c>
      <c r="I303" s="46">
        <f t="shared" si="34"/>
        <v>7746211763.27999</v>
      </c>
      <c r="J303" s="74">
        <f t="shared" si="35"/>
        <v>1</v>
      </c>
      <c r="K303" s="74"/>
      <c r="L303" s="74"/>
    </row>
    <row r="304" spans="1:12">
      <c r="A304" s="74">
        <v>277</v>
      </c>
      <c r="B304" s="45">
        <v>54455</v>
      </c>
      <c r="C304" s="46">
        <f t="shared" si="28"/>
        <v>54937672.08</v>
      </c>
      <c r="D304" s="46" t="e">
        <f t="shared" si="29"/>
        <v>#NUM!</v>
      </c>
      <c r="E304" s="46" t="e">
        <f t="shared" si="30"/>
        <v>#NUM!</v>
      </c>
      <c r="F304" s="46" t="e">
        <f t="shared" si="31"/>
        <v>#NUM!</v>
      </c>
      <c r="G304" s="46" t="e">
        <f t="shared" si="32"/>
        <v>#NUM!</v>
      </c>
      <c r="H304" s="46">
        <f t="shared" si="33"/>
        <v>14048725181.4401</v>
      </c>
      <c r="I304" s="46">
        <f t="shared" si="34"/>
        <v>7801149435.35999</v>
      </c>
      <c r="J304" s="74">
        <f t="shared" si="35"/>
        <v>1</v>
      </c>
      <c r="K304" s="74"/>
      <c r="L304" s="74"/>
    </row>
    <row r="305" spans="1:12">
      <c r="A305" s="74">
        <v>278</v>
      </c>
      <c r="B305" s="45">
        <v>54483</v>
      </c>
      <c r="C305" s="46">
        <f t="shared" si="28"/>
        <v>54937672.08</v>
      </c>
      <c r="D305" s="46" t="e">
        <f t="shared" si="29"/>
        <v>#NUM!</v>
      </c>
      <c r="E305" s="46" t="e">
        <f t="shared" si="30"/>
        <v>#NUM!</v>
      </c>
      <c r="F305" s="46" t="e">
        <f t="shared" si="31"/>
        <v>#NUM!</v>
      </c>
      <c r="G305" s="46" t="e">
        <f t="shared" si="32"/>
        <v>#NUM!</v>
      </c>
      <c r="H305" s="46">
        <f t="shared" si="33"/>
        <v>13993787509.3601</v>
      </c>
      <c r="I305" s="46">
        <f t="shared" si="34"/>
        <v>7856087107.43999</v>
      </c>
      <c r="J305" s="74">
        <f t="shared" si="35"/>
        <v>1</v>
      </c>
      <c r="K305" s="74"/>
      <c r="L305" s="74"/>
    </row>
    <row r="306" spans="1:12">
      <c r="A306" s="74">
        <v>279</v>
      </c>
      <c r="B306" s="45">
        <v>54514</v>
      </c>
      <c r="C306" s="46">
        <f t="shared" si="28"/>
        <v>54937672.08</v>
      </c>
      <c r="D306" s="46" t="e">
        <f t="shared" si="29"/>
        <v>#NUM!</v>
      </c>
      <c r="E306" s="46" t="e">
        <f t="shared" si="30"/>
        <v>#NUM!</v>
      </c>
      <c r="F306" s="46" t="e">
        <f t="shared" si="31"/>
        <v>#NUM!</v>
      </c>
      <c r="G306" s="46" t="e">
        <f t="shared" si="32"/>
        <v>#NUM!</v>
      </c>
      <c r="H306" s="46">
        <f t="shared" si="33"/>
        <v>13938849837.2801</v>
      </c>
      <c r="I306" s="46">
        <f t="shared" si="34"/>
        <v>7911024779.51999</v>
      </c>
      <c r="J306" s="74">
        <f t="shared" si="35"/>
        <v>1</v>
      </c>
      <c r="K306" s="74"/>
      <c r="L306" s="74"/>
    </row>
    <row r="307" spans="1:12">
      <c r="A307" s="74">
        <v>280</v>
      </c>
      <c r="B307" s="45">
        <v>54544</v>
      </c>
      <c r="C307" s="46">
        <f t="shared" si="28"/>
        <v>54937672.08</v>
      </c>
      <c r="D307" s="46" t="e">
        <f t="shared" si="29"/>
        <v>#NUM!</v>
      </c>
      <c r="E307" s="46" t="e">
        <f t="shared" si="30"/>
        <v>#NUM!</v>
      </c>
      <c r="F307" s="46" t="e">
        <f t="shared" si="31"/>
        <v>#NUM!</v>
      </c>
      <c r="G307" s="46" t="e">
        <f t="shared" si="32"/>
        <v>#NUM!</v>
      </c>
      <c r="H307" s="46">
        <f t="shared" si="33"/>
        <v>13883912165.2001</v>
      </c>
      <c r="I307" s="46">
        <f t="shared" si="34"/>
        <v>7965962451.59999</v>
      </c>
      <c r="J307" s="74">
        <f t="shared" si="35"/>
        <v>1</v>
      </c>
      <c r="K307" s="74"/>
      <c r="L307" s="74"/>
    </row>
    <row r="308" spans="1:12">
      <c r="A308" s="74">
        <v>281</v>
      </c>
      <c r="B308" s="45">
        <v>54575</v>
      </c>
      <c r="C308" s="46">
        <f t="shared" si="28"/>
        <v>54937672.08</v>
      </c>
      <c r="D308" s="46" t="e">
        <f t="shared" si="29"/>
        <v>#NUM!</v>
      </c>
      <c r="E308" s="46" t="e">
        <f t="shared" si="30"/>
        <v>#NUM!</v>
      </c>
      <c r="F308" s="46" t="e">
        <f t="shared" si="31"/>
        <v>#NUM!</v>
      </c>
      <c r="G308" s="46" t="e">
        <f t="shared" si="32"/>
        <v>#NUM!</v>
      </c>
      <c r="H308" s="46">
        <f t="shared" si="33"/>
        <v>13828974493.1201</v>
      </c>
      <c r="I308" s="46">
        <f t="shared" si="34"/>
        <v>8020900123.67999</v>
      </c>
      <c r="J308" s="74">
        <f t="shared" si="35"/>
        <v>1</v>
      </c>
      <c r="K308" s="74"/>
      <c r="L308" s="74"/>
    </row>
    <row r="309" spans="1:12">
      <c r="A309" s="74">
        <v>282</v>
      </c>
      <c r="B309" s="45">
        <v>54605</v>
      </c>
      <c r="C309" s="46">
        <f t="shared" si="28"/>
        <v>54937672.08</v>
      </c>
      <c r="D309" s="46" t="e">
        <f t="shared" si="29"/>
        <v>#NUM!</v>
      </c>
      <c r="E309" s="46" t="e">
        <f t="shared" si="30"/>
        <v>#NUM!</v>
      </c>
      <c r="F309" s="46" t="e">
        <f t="shared" si="31"/>
        <v>#NUM!</v>
      </c>
      <c r="G309" s="46" t="e">
        <f t="shared" si="32"/>
        <v>#NUM!</v>
      </c>
      <c r="H309" s="46">
        <f t="shared" si="33"/>
        <v>13774036821.0401</v>
      </c>
      <c r="I309" s="46">
        <f t="shared" si="34"/>
        <v>8075837795.75999</v>
      </c>
      <c r="J309" s="74">
        <f t="shared" si="35"/>
        <v>1</v>
      </c>
      <c r="K309" s="74"/>
      <c r="L309" s="74"/>
    </row>
    <row r="310" spans="1:12">
      <c r="A310" s="74">
        <v>283</v>
      </c>
      <c r="B310" s="45">
        <v>54636</v>
      </c>
      <c r="C310" s="46">
        <f t="shared" si="28"/>
        <v>54937672.08</v>
      </c>
      <c r="D310" s="46" t="e">
        <f t="shared" si="29"/>
        <v>#NUM!</v>
      </c>
      <c r="E310" s="46" t="e">
        <f t="shared" si="30"/>
        <v>#NUM!</v>
      </c>
      <c r="F310" s="46" t="e">
        <f t="shared" si="31"/>
        <v>#NUM!</v>
      </c>
      <c r="G310" s="46" t="e">
        <f t="shared" si="32"/>
        <v>#NUM!</v>
      </c>
      <c r="H310" s="46">
        <f t="shared" si="33"/>
        <v>13719099148.9601</v>
      </c>
      <c r="I310" s="46">
        <f t="shared" si="34"/>
        <v>8130775467.83999</v>
      </c>
      <c r="J310" s="74">
        <f t="shared" si="35"/>
        <v>1</v>
      </c>
      <c r="K310" s="74"/>
      <c r="L310" s="74"/>
    </row>
    <row r="311" spans="1:12">
      <c r="A311" s="74">
        <v>284</v>
      </c>
      <c r="B311" s="45">
        <v>54667</v>
      </c>
      <c r="C311" s="46">
        <f t="shared" si="28"/>
        <v>54937672.08</v>
      </c>
      <c r="D311" s="46" t="e">
        <f t="shared" si="29"/>
        <v>#NUM!</v>
      </c>
      <c r="E311" s="46" t="e">
        <f t="shared" si="30"/>
        <v>#NUM!</v>
      </c>
      <c r="F311" s="46" t="e">
        <f t="shared" si="31"/>
        <v>#NUM!</v>
      </c>
      <c r="G311" s="46" t="e">
        <f t="shared" si="32"/>
        <v>#NUM!</v>
      </c>
      <c r="H311" s="46">
        <f t="shared" si="33"/>
        <v>13664161476.8801</v>
      </c>
      <c r="I311" s="46">
        <f t="shared" si="34"/>
        <v>8185713139.91999</v>
      </c>
      <c r="J311" s="74">
        <f t="shared" si="35"/>
        <v>1</v>
      </c>
      <c r="K311" s="74"/>
      <c r="L311" s="74"/>
    </row>
    <row r="312" spans="1:12">
      <c r="A312" s="74">
        <v>285</v>
      </c>
      <c r="B312" s="45">
        <v>54697</v>
      </c>
      <c r="C312" s="46">
        <f t="shared" si="28"/>
        <v>54937672.08</v>
      </c>
      <c r="D312" s="46" t="e">
        <f t="shared" si="29"/>
        <v>#NUM!</v>
      </c>
      <c r="E312" s="46" t="e">
        <f t="shared" si="30"/>
        <v>#NUM!</v>
      </c>
      <c r="F312" s="46" t="e">
        <f t="shared" si="31"/>
        <v>#NUM!</v>
      </c>
      <c r="G312" s="46" t="e">
        <f t="shared" si="32"/>
        <v>#NUM!</v>
      </c>
      <c r="H312" s="46">
        <f t="shared" si="33"/>
        <v>13609223804.8001</v>
      </c>
      <c r="I312" s="46">
        <f t="shared" si="34"/>
        <v>8240650811.99999</v>
      </c>
      <c r="J312" s="74">
        <f t="shared" si="35"/>
        <v>1</v>
      </c>
      <c r="K312" s="74"/>
      <c r="L312" s="74"/>
    </row>
    <row r="313" spans="1:12">
      <c r="A313" s="74">
        <v>286</v>
      </c>
      <c r="B313" s="45">
        <v>54728</v>
      </c>
      <c r="C313" s="46">
        <f t="shared" si="28"/>
        <v>54937672.08</v>
      </c>
      <c r="D313" s="46" t="e">
        <f t="shared" si="29"/>
        <v>#NUM!</v>
      </c>
      <c r="E313" s="46" t="e">
        <f t="shared" si="30"/>
        <v>#NUM!</v>
      </c>
      <c r="F313" s="46" t="e">
        <f t="shared" si="31"/>
        <v>#NUM!</v>
      </c>
      <c r="G313" s="46" t="e">
        <f t="shared" si="32"/>
        <v>#NUM!</v>
      </c>
      <c r="H313" s="46">
        <f t="shared" si="33"/>
        <v>13554286132.7201</v>
      </c>
      <c r="I313" s="46">
        <f t="shared" si="34"/>
        <v>8295588484.07999</v>
      </c>
      <c r="J313" s="74">
        <f t="shared" si="35"/>
        <v>1</v>
      </c>
      <c r="K313" s="74"/>
      <c r="L313" s="74"/>
    </row>
    <row r="314" spans="1:12">
      <c r="A314" s="74">
        <v>287</v>
      </c>
      <c r="B314" s="45">
        <v>54758</v>
      </c>
      <c r="C314" s="46">
        <f t="shared" si="28"/>
        <v>54937672.08</v>
      </c>
      <c r="D314" s="46" t="e">
        <f t="shared" si="29"/>
        <v>#NUM!</v>
      </c>
      <c r="E314" s="46" t="e">
        <f t="shared" si="30"/>
        <v>#NUM!</v>
      </c>
      <c r="F314" s="46" t="e">
        <f t="shared" si="31"/>
        <v>#NUM!</v>
      </c>
      <c r="G314" s="46" t="e">
        <f t="shared" si="32"/>
        <v>#NUM!</v>
      </c>
      <c r="H314" s="46">
        <f t="shared" si="33"/>
        <v>13499348460.6401</v>
      </c>
      <c r="I314" s="46">
        <f t="shared" si="34"/>
        <v>8350526156.15999</v>
      </c>
      <c r="J314" s="74">
        <f t="shared" si="35"/>
        <v>1</v>
      </c>
      <c r="K314" s="74"/>
      <c r="L314" s="74"/>
    </row>
    <row r="315" spans="1:12">
      <c r="A315" s="74">
        <v>288</v>
      </c>
      <c r="B315" s="45">
        <v>54789</v>
      </c>
      <c r="C315" s="46">
        <f t="shared" si="28"/>
        <v>54937672.08</v>
      </c>
      <c r="D315" s="46" t="e">
        <f t="shared" si="29"/>
        <v>#NUM!</v>
      </c>
      <c r="E315" s="46" t="e">
        <f t="shared" si="30"/>
        <v>#NUM!</v>
      </c>
      <c r="F315" s="46" t="e">
        <f t="shared" si="31"/>
        <v>#NUM!</v>
      </c>
      <c r="G315" s="46" t="e">
        <f t="shared" si="32"/>
        <v>#NUM!</v>
      </c>
      <c r="H315" s="46">
        <f t="shared" si="33"/>
        <v>13444410788.5601</v>
      </c>
      <c r="I315" s="46">
        <f t="shared" si="34"/>
        <v>8405463828.23999</v>
      </c>
      <c r="J315" s="74">
        <f t="shared" si="35"/>
        <v>1</v>
      </c>
      <c r="K315" s="74"/>
      <c r="L315" s="74"/>
    </row>
    <row r="316" spans="1:12">
      <c r="A316" s="74">
        <v>289</v>
      </c>
      <c r="B316" s="45">
        <v>54820</v>
      </c>
      <c r="C316" s="46">
        <f t="shared" si="28"/>
        <v>54937672.08</v>
      </c>
      <c r="D316" s="46" t="e">
        <f t="shared" si="29"/>
        <v>#NUM!</v>
      </c>
      <c r="E316" s="46" t="e">
        <f t="shared" si="30"/>
        <v>#NUM!</v>
      </c>
      <c r="F316" s="46" t="e">
        <f t="shared" si="31"/>
        <v>#NUM!</v>
      </c>
      <c r="G316" s="46" t="e">
        <f t="shared" si="32"/>
        <v>#NUM!</v>
      </c>
      <c r="H316" s="46">
        <f t="shared" si="33"/>
        <v>13389473116.4801</v>
      </c>
      <c r="I316" s="46">
        <f t="shared" si="34"/>
        <v>8460401500.31999</v>
      </c>
      <c r="J316" s="74">
        <f t="shared" si="35"/>
        <v>1</v>
      </c>
      <c r="K316" s="74"/>
      <c r="L316" s="74"/>
    </row>
    <row r="317" spans="1:12">
      <c r="A317" s="74">
        <v>290</v>
      </c>
      <c r="B317" s="45">
        <v>54848</v>
      </c>
      <c r="C317" s="46">
        <f t="shared" si="28"/>
        <v>54937672.08</v>
      </c>
      <c r="D317" s="46" t="e">
        <f t="shared" si="29"/>
        <v>#NUM!</v>
      </c>
      <c r="E317" s="46" t="e">
        <f t="shared" si="30"/>
        <v>#NUM!</v>
      </c>
      <c r="F317" s="46" t="e">
        <f t="shared" si="31"/>
        <v>#NUM!</v>
      </c>
      <c r="G317" s="46" t="e">
        <f t="shared" si="32"/>
        <v>#NUM!</v>
      </c>
      <c r="H317" s="46">
        <f t="shared" si="33"/>
        <v>13334535444.4001</v>
      </c>
      <c r="I317" s="46">
        <f t="shared" si="34"/>
        <v>8515339172.39999</v>
      </c>
      <c r="J317" s="74">
        <f t="shared" si="35"/>
        <v>1</v>
      </c>
      <c r="K317" s="74"/>
      <c r="L317" s="74"/>
    </row>
    <row r="318" spans="1:12">
      <c r="A318" s="74">
        <v>291</v>
      </c>
      <c r="B318" s="45">
        <v>54879</v>
      </c>
      <c r="C318" s="46">
        <f t="shared" si="28"/>
        <v>54937672.08</v>
      </c>
      <c r="D318" s="46" t="e">
        <f t="shared" si="29"/>
        <v>#NUM!</v>
      </c>
      <c r="E318" s="46" t="e">
        <f t="shared" si="30"/>
        <v>#NUM!</v>
      </c>
      <c r="F318" s="46" t="e">
        <f t="shared" si="31"/>
        <v>#NUM!</v>
      </c>
      <c r="G318" s="46" t="e">
        <f t="shared" si="32"/>
        <v>#NUM!</v>
      </c>
      <c r="H318" s="46">
        <f t="shared" si="33"/>
        <v>13279597772.3201</v>
      </c>
      <c r="I318" s="46">
        <f t="shared" si="34"/>
        <v>8570276844.47999</v>
      </c>
      <c r="J318" s="74">
        <f t="shared" si="35"/>
        <v>1</v>
      </c>
      <c r="K318" s="74"/>
      <c r="L318" s="74"/>
    </row>
    <row r="319" spans="1:12">
      <c r="A319" s="74">
        <v>292</v>
      </c>
      <c r="B319" s="45">
        <v>54909</v>
      </c>
      <c r="C319" s="46">
        <f t="shared" si="28"/>
        <v>54937672.08</v>
      </c>
      <c r="D319" s="46" t="e">
        <f t="shared" si="29"/>
        <v>#NUM!</v>
      </c>
      <c r="E319" s="46" t="e">
        <f t="shared" si="30"/>
        <v>#NUM!</v>
      </c>
      <c r="F319" s="46" t="e">
        <f t="shared" si="31"/>
        <v>#NUM!</v>
      </c>
      <c r="G319" s="46" t="e">
        <f t="shared" si="32"/>
        <v>#NUM!</v>
      </c>
      <c r="H319" s="46">
        <f t="shared" si="33"/>
        <v>13224660100.2401</v>
      </c>
      <c r="I319" s="46">
        <f t="shared" si="34"/>
        <v>8625214516.55999</v>
      </c>
      <c r="J319" s="74">
        <f t="shared" si="35"/>
        <v>1</v>
      </c>
      <c r="K319" s="74"/>
      <c r="L319" s="74"/>
    </row>
    <row r="320" spans="1:12">
      <c r="A320" s="74">
        <v>293</v>
      </c>
      <c r="B320" s="45">
        <v>54940</v>
      </c>
      <c r="C320" s="46">
        <f t="shared" si="28"/>
        <v>54937672.08</v>
      </c>
      <c r="D320" s="46" t="e">
        <f t="shared" si="29"/>
        <v>#NUM!</v>
      </c>
      <c r="E320" s="46" t="e">
        <f t="shared" si="30"/>
        <v>#NUM!</v>
      </c>
      <c r="F320" s="46" t="e">
        <f t="shared" si="31"/>
        <v>#NUM!</v>
      </c>
      <c r="G320" s="46" t="e">
        <f t="shared" si="32"/>
        <v>#NUM!</v>
      </c>
      <c r="H320" s="46">
        <f t="shared" si="33"/>
        <v>13169722428.1601</v>
      </c>
      <c r="I320" s="46">
        <f t="shared" si="34"/>
        <v>8680152188.63999</v>
      </c>
      <c r="J320" s="74">
        <f t="shared" si="35"/>
        <v>1</v>
      </c>
      <c r="K320" s="74"/>
      <c r="L320" s="74"/>
    </row>
    <row r="321" spans="1:12">
      <c r="A321" s="74">
        <v>294</v>
      </c>
      <c r="B321" s="45">
        <v>54970</v>
      </c>
      <c r="C321" s="46">
        <f t="shared" si="28"/>
        <v>54937672.08</v>
      </c>
      <c r="D321" s="46" t="e">
        <f t="shared" si="29"/>
        <v>#NUM!</v>
      </c>
      <c r="E321" s="46" t="e">
        <f t="shared" si="30"/>
        <v>#NUM!</v>
      </c>
      <c r="F321" s="46" t="e">
        <f t="shared" si="31"/>
        <v>#NUM!</v>
      </c>
      <c r="G321" s="46" t="e">
        <f t="shared" si="32"/>
        <v>#NUM!</v>
      </c>
      <c r="H321" s="46">
        <f t="shared" si="33"/>
        <v>13114784756.0801</v>
      </c>
      <c r="I321" s="46">
        <f t="shared" si="34"/>
        <v>8735089860.71999</v>
      </c>
      <c r="J321" s="74">
        <f t="shared" si="35"/>
        <v>1</v>
      </c>
      <c r="K321" s="74"/>
      <c r="L321" s="74"/>
    </row>
    <row r="322" spans="1:12">
      <c r="A322" s="74">
        <v>295</v>
      </c>
      <c r="B322" s="45">
        <v>55001</v>
      </c>
      <c r="C322" s="46">
        <f t="shared" si="28"/>
        <v>54937672.08</v>
      </c>
      <c r="D322" s="46" t="e">
        <f t="shared" si="29"/>
        <v>#NUM!</v>
      </c>
      <c r="E322" s="46" t="e">
        <f t="shared" si="30"/>
        <v>#NUM!</v>
      </c>
      <c r="F322" s="46" t="e">
        <f t="shared" si="31"/>
        <v>#NUM!</v>
      </c>
      <c r="G322" s="46" t="e">
        <f t="shared" si="32"/>
        <v>#NUM!</v>
      </c>
      <c r="H322" s="46">
        <f t="shared" si="33"/>
        <v>13059847084.0001</v>
      </c>
      <c r="I322" s="46">
        <f t="shared" si="34"/>
        <v>8790027532.79999</v>
      </c>
      <c r="J322" s="74">
        <f t="shared" si="35"/>
        <v>1</v>
      </c>
      <c r="K322" s="74"/>
      <c r="L322" s="74"/>
    </row>
    <row r="323" spans="1:12">
      <c r="A323" s="74">
        <v>296</v>
      </c>
      <c r="B323" s="45">
        <v>55032</v>
      </c>
      <c r="C323" s="46">
        <f t="shared" si="28"/>
        <v>54937672.08</v>
      </c>
      <c r="D323" s="46" t="e">
        <f t="shared" si="29"/>
        <v>#NUM!</v>
      </c>
      <c r="E323" s="46" t="e">
        <f t="shared" si="30"/>
        <v>#NUM!</v>
      </c>
      <c r="F323" s="46" t="e">
        <f t="shared" si="31"/>
        <v>#NUM!</v>
      </c>
      <c r="G323" s="46" t="e">
        <f t="shared" si="32"/>
        <v>#NUM!</v>
      </c>
      <c r="H323" s="46">
        <f t="shared" si="33"/>
        <v>13004909411.9201</v>
      </c>
      <c r="I323" s="46">
        <f t="shared" si="34"/>
        <v>8844965204.87999</v>
      </c>
      <c r="J323" s="74">
        <f t="shared" si="35"/>
        <v>1</v>
      </c>
      <c r="K323" s="74"/>
      <c r="L323" s="74"/>
    </row>
    <row r="324" spans="1:12">
      <c r="A324" s="74">
        <v>297</v>
      </c>
      <c r="B324" s="45">
        <v>55062</v>
      </c>
      <c r="C324" s="46">
        <f t="shared" si="28"/>
        <v>54937672.08</v>
      </c>
      <c r="D324" s="46" t="e">
        <f t="shared" si="29"/>
        <v>#NUM!</v>
      </c>
      <c r="E324" s="46" t="e">
        <f t="shared" si="30"/>
        <v>#NUM!</v>
      </c>
      <c r="F324" s="46" t="e">
        <f t="shared" si="31"/>
        <v>#NUM!</v>
      </c>
      <c r="G324" s="46" t="e">
        <f t="shared" si="32"/>
        <v>#NUM!</v>
      </c>
      <c r="H324" s="46">
        <f t="shared" si="33"/>
        <v>12949971739.8401</v>
      </c>
      <c r="I324" s="46">
        <f t="shared" si="34"/>
        <v>8899902876.95999</v>
      </c>
      <c r="J324" s="74">
        <f t="shared" si="35"/>
        <v>1</v>
      </c>
      <c r="K324" s="74"/>
      <c r="L324" s="74"/>
    </row>
    <row r="325" spans="1:12">
      <c r="A325" s="74">
        <v>298</v>
      </c>
      <c r="B325" s="45">
        <v>55093</v>
      </c>
      <c r="C325" s="46">
        <f t="shared" si="28"/>
        <v>54937672.08</v>
      </c>
      <c r="D325" s="46" t="e">
        <f t="shared" si="29"/>
        <v>#NUM!</v>
      </c>
      <c r="E325" s="46" t="e">
        <f t="shared" si="30"/>
        <v>#NUM!</v>
      </c>
      <c r="F325" s="46" t="e">
        <f t="shared" si="31"/>
        <v>#NUM!</v>
      </c>
      <c r="G325" s="46" t="e">
        <f t="shared" si="32"/>
        <v>#NUM!</v>
      </c>
      <c r="H325" s="46">
        <f t="shared" si="33"/>
        <v>12895034067.7601</v>
      </c>
      <c r="I325" s="46">
        <f t="shared" si="34"/>
        <v>8954840549.03999</v>
      </c>
      <c r="J325" s="74">
        <f t="shared" si="35"/>
        <v>1</v>
      </c>
      <c r="K325" s="74"/>
      <c r="L325" s="74"/>
    </row>
    <row r="326" spans="1:12">
      <c r="A326" s="74">
        <v>299</v>
      </c>
      <c r="B326" s="45">
        <v>55123</v>
      </c>
      <c r="C326" s="46">
        <f t="shared" si="28"/>
        <v>54937672.08</v>
      </c>
      <c r="D326" s="46" t="e">
        <f t="shared" si="29"/>
        <v>#NUM!</v>
      </c>
      <c r="E326" s="46" t="e">
        <f t="shared" si="30"/>
        <v>#NUM!</v>
      </c>
      <c r="F326" s="46" t="e">
        <f t="shared" si="31"/>
        <v>#NUM!</v>
      </c>
      <c r="G326" s="46" t="e">
        <f t="shared" si="32"/>
        <v>#NUM!</v>
      </c>
      <c r="H326" s="46">
        <f t="shared" si="33"/>
        <v>12840096395.6801</v>
      </c>
      <c r="I326" s="46">
        <f t="shared" si="34"/>
        <v>9009778221.11999</v>
      </c>
      <c r="J326" s="74">
        <f t="shared" si="35"/>
        <v>1</v>
      </c>
      <c r="K326" s="74"/>
      <c r="L326" s="74"/>
    </row>
    <row r="327" spans="1:12">
      <c r="A327" s="74">
        <v>300</v>
      </c>
      <c r="B327" s="45">
        <v>55154</v>
      </c>
      <c r="C327" s="46">
        <f t="shared" si="28"/>
        <v>54937672.08</v>
      </c>
      <c r="D327" s="46" t="e">
        <f t="shared" si="29"/>
        <v>#NUM!</v>
      </c>
      <c r="E327" s="46" t="e">
        <f t="shared" si="30"/>
        <v>#NUM!</v>
      </c>
      <c r="F327" s="46" t="e">
        <f t="shared" si="31"/>
        <v>#NUM!</v>
      </c>
      <c r="G327" s="46" t="e">
        <f t="shared" si="32"/>
        <v>#NUM!</v>
      </c>
      <c r="H327" s="46">
        <f t="shared" si="33"/>
        <v>12785158723.6001</v>
      </c>
      <c r="I327" s="46">
        <f t="shared" si="34"/>
        <v>9064715893.19999</v>
      </c>
      <c r="J327" s="74">
        <f t="shared" si="35"/>
        <v>1</v>
      </c>
      <c r="K327" s="74"/>
      <c r="L327" s="74"/>
    </row>
    <row r="328" spans="1:12">
      <c r="A328" s="74">
        <v>301</v>
      </c>
      <c r="B328" s="45">
        <v>55185</v>
      </c>
      <c r="C328" s="46">
        <f t="shared" si="28"/>
        <v>54937672.08</v>
      </c>
      <c r="D328" s="46" t="e">
        <f t="shared" si="29"/>
        <v>#NUM!</v>
      </c>
      <c r="E328" s="46" t="e">
        <f t="shared" si="30"/>
        <v>#NUM!</v>
      </c>
      <c r="F328" s="46" t="e">
        <f t="shared" si="31"/>
        <v>#NUM!</v>
      </c>
      <c r="G328" s="46" t="e">
        <f t="shared" si="32"/>
        <v>#NUM!</v>
      </c>
      <c r="H328" s="46">
        <f t="shared" si="33"/>
        <v>12730221051.5201</v>
      </c>
      <c r="I328" s="46">
        <f t="shared" si="34"/>
        <v>9119653565.27999</v>
      </c>
      <c r="J328" s="74">
        <f t="shared" si="35"/>
        <v>1</v>
      </c>
      <c r="K328" s="74"/>
      <c r="L328" s="74"/>
    </row>
    <row r="329" spans="1:12">
      <c r="A329" s="74">
        <v>302</v>
      </c>
      <c r="B329" s="45">
        <v>55213</v>
      </c>
      <c r="C329" s="46">
        <f t="shared" si="28"/>
        <v>54937672.08</v>
      </c>
      <c r="D329" s="46" t="e">
        <f t="shared" si="29"/>
        <v>#NUM!</v>
      </c>
      <c r="E329" s="46" t="e">
        <f t="shared" si="30"/>
        <v>#NUM!</v>
      </c>
      <c r="F329" s="46" t="e">
        <f t="shared" si="31"/>
        <v>#NUM!</v>
      </c>
      <c r="G329" s="46" t="e">
        <f t="shared" si="32"/>
        <v>#NUM!</v>
      </c>
      <c r="H329" s="46">
        <f t="shared" si="33"/>
        <v>12675283379.4401</v>
      </c>
      <c r="I329" s="46">
        <f t="shared" si="34"/>
        <v>9174591237.35999</v>
      </c>
      <c r="J329" s="74">
        <f t="shared" si="35"/>
        <v>1</v>
      </c>
      <c r="K329" s="74"/>
      <c r="L329" s="74"/>
    </row>
    <row r="330" spans="1:12">
      <c r="A330" s="74">
        <v>303</v>
      </c>
      <c r="B330" s="45">
        <v>55244</v>
      </c>
      <c r="C330" s="46">
        <f t="shared" si="28"/>
        <v>54937672.08</v>
      </c>
      <c r="D330" s="46" t="e">
        <f t="shared" si="29"/>
        <v>#NUM!</v>
      </c>
      <c r="E330" s="46" t="e">
        <f t="shared" si="30"/>
        <v>#NUM!</v>
      </c>
      <c r="F330" s="46" t="e">
        <f t="shared" si="31"/>
        <v>#NUM!</v>
      </c>
      <c r="G330" s="46" t="e">
        <f t="shared" si="32"/>
        <v>#NUM!</v>
      </c>
      <c r="H330" s="46">
        <f t="shared" si="33"/>
        <v>12620345707.3601</v>
      </c>
      <c r="I330" s="46">
        <f t="shared" si="34"/>
        <v>9229528909.43999</v>
      </c>
      <c r="J330" s="74">
        <f t="shared" si="35"/>
        <v>1</v>
      </c>
      <c r="K330" s="74"/>
      <c r="L330" s="74"/>
    </row>
    <row r="331" spans="1:12">
      <c r="A331" s="74">
        <v>304</v>
      </c>
      <c r="B331" s="45">
        <v>55274</v>
      </c>
      <c r="C331" s="46">
        <f t="shared" si="28"/>
        <v>54937672.08</v>
      </c>
      <c r="D331" s="46" t="e">
        <f t="shared" si="29"/>
        <v>#NUM!</v>
      </c>
      <c r="E331" s="46" t="e">
        <f t="shared" si="30"/>
        <v>#NUM!</v>
      </c>
      <c r="F331" s="46" t="e">
        <f t="shared" si="31"/>
        <v>#NUM!</v>
      </c>
      <c r="G331" s="46" t="e">
        <f t="shared" si="32"/>
        <v>#NUM!</v>
      </c>
      <c r="H331" s="46">
        <f t="shared" si="33"/>
        <v>12565408035.2801</v>
      </c>
      <c r="I331" s="46">
        <f t="shared" si="34"/>
        <v>9284466581.51999</v>
      </c>
      <c r="J331" s="74">
        <f t="shared" si="35"/>
        <v>1</v>
      </c>
      <c r="K331" s="74"/>
      <c r="L331" s="74"/>
    </row>
    <row r="332" spans="1:12">
      <c r="A332" s="74">
        <v>305</v>
      </c>
      <c r="B332" s="45">
        <v>55305</v>
      </c>
      <c r="C332" s="46">
        <f t="shared" si="28"/>
        <v>54937672.08</v>
      </c>
      <c r="D332" s="46" t="e">
        <f t="shared" si="29"/>
        <v>#NUM!</v>
      </c>
      <c r="E332" s="46" t="e">
        <f t="shared" si="30"/>
        <v>#NUM!</v>
      </c>
      <c r="F332" s="46" t="e">
        <f t="shared" si="31"/>
        <v>#NUM!</v>
      </c>
      <c r="G332" s="46" t="e">
        <f t="shared" si="32"/>
        <v>#NUM!</v>
      </c>
      <c r="H332" s="46">
        <f t="shared" si="33"/>
        <v>12510470363.2001</v>
      </c>
      <c r="I332" s="46">
        <f t="shared" si="34"/>
        <v>9339404253.59999</v>
      </c>
      <c r="J332" s="74">
        <f t="shared" si="35"/>
        <v>1</v>
      </c>
      <c r="K332" s="74"/>
      <c r="L332" s="74"/>
    </row>
    <row r="333" spans="1:12">
      <c r="A333" s="74">
        <v>306</v>
      </c>
      <c r="B333" s="45">
        <v>55335</v>
      </c>
      <c r="C333" s="46">
        <f t="shared" si="28"/>
        <v>54937672.08</v>
      </c>
      <c r="D333" s="46" t="e">
        <f t="shared" si="29"/>
        <v>#NUM!</v>
      </c>
      <c r="E333" s="46" t="e">
        <f t="shared" si="30"/>
        <v>#NUM!</v>
      </c>
      <c r="F333" s="46" t="e">
        <f t="shared" si="31"/>
        <v>#NUM!</v>
      </c>
      <c r="G333" s="46" t="e">
        <f t="shared" si="32"/>
        <v>#NUM!</v>
      </c>
      <c r="H333" s="46">
        <f t="shared" si="33"/>
        <v>12455532691.1201</v>
      </c>
      <c r="I333" s="46">
        <f t="shared" si="34"/>
        <v>9394341925.67999</v>
      </c>
      <c r="J333" s="74">
        <f t="shared" si="35"/>
        <v>1</v>
      </c>
      <c r="K333" s="74"/>
      <c r="L333" s="74"/>
    </row>
    <row r="334" spans="1:12">
      <c r="A334" s="74">
        <v>307</v>
      </c>
      <c r="B334" s="45">
        <v>55366</v>
      </c>
      <c r="C334" s="46">
        <f t="shared" si="28"/>
        <v>54937672.08</v>
      </c>
      <c r="D334" s="46" t="e">
        <f t="shared" si="29"/>
        <v>#NUM!</v>
      </c>
      <c r="E334" s="46" t="e">
        <f t="shared" si="30"/>
        <v>#NUM!</v>
      </c>
      <c r="F334" s="46" t="e">
        <f t="shared" si="31"/>
        <v>#NUM!</v>
      </c>
      <c r="G334" s="46" t="e">
        <f t="shared" si="32"/>
        <v>#NUM!</v>
      </c>
      <c r="H334" s="46">
        <f t="shared" si="33"/>
        <v>12400595019.0401</v>
      </c>
      <c r="I334" s="46">
        <f t="shared" si="34"/>
        <v>9449279597.75999</v>
      </c>
      <c r="J334" s="74">
        <f t="shared" si="35"/>
        <v>1</v>
      </c>
      <c r="K334" s="74"/>
      <c r="L334" s="74"/>
    </row>
    <row r="335" spans="1:12">
      <c r="A335" s="74">
        <v>308</v>
      </c>
      <c r="B335" s="45">
        <v>55397</v>
      </c>
      <c r="C335" s="46">
        <f t="shared" si="28"/>
        <v>54937672.08</v>
      </c>
      <c r="D335" s="46" t="e">
        <f t="shared" si="29"/>
        <v>#NUM!</v>
      </c>
      <c r="E335" s="46" t="e">
        <f t="shared" si="30"/>
        <v>#NUM!</v>
      </c>
      <c r="F335" s="46" t="e">
        <f t="shared" si="31"/>
        <v>#NUM!</v>
      </c>
      <c r="G335" s="46" t="e">
        <f t="shared" si="32"/>
        <v>#NUM!</v>
      </c>
      <c r="H335" s="46">
        <f t="shared" si="33"/>
        <v>12345657346.9601</v>
      </c>
      <c r="I335" s="46">
        <f t="shared" si="34"/>
        <v>9504217269.83999</v>
      </c>
      <c r="J335" s="74">
        <f t="shared" si="35"/>
        <v>1</v>
      </c>
      <c r="K335" s="74"/>
      <c r="L335" s="74"/>
    </row>
    <row r="336" spans="1:12">
      <c r="A336" s="74">
        <v>309</v>
      </c>
      <c r="B336" s="45">
        <v>55427</v>
      </c>
      <c r="C336" s="46">
        <f t="shared" si="28"/>
        <v>54937672.08</v>
      </c>
      <c r="D336" s="46" t="e">
        <f t="shared" si="29"/>
        <v>#NUM!</v>
      </c>
      <c r="E336" s="46" t="e">
        <f t="shared" si="30"/>
        <v>#NUM!</v>
      </c>
      <c r="F336" s="46" t="e">
        <f t="shared" si="31"/>
        <v>#NUM!</v>
      </c>
      <c r="G336" s="46" t="e">
        <f t="shared" si="32"/>
        <v>#NUM!</v>
      </c>
      <c r="H336" s="46">
        <f t="shared" si="33"/>
        <v>12290719674.8801</v>
      </c>
      <c r="I336" s="46">
        <f t="shared" si="34"/>
        <v>9559154941.91999</v>
      </c>
      <c r="J336" s="74">
        <f t="shared" si="35"/>
        <v>1</v>
      </c>
      <c r="K336" s="74"/>
      <c r="L336" s="74"/>
    </row>
    <row r="337" spans="1:12">
      <c r="A337" s="74">
        <v>310</v>
      </c>
      <c r="B337" s="45">
        <v>55458</v>
      </c>
      <c r="C337" s="46">
        <f t="shared" si="28"/>
        <v>54937672.08</v>
      </c>
      <c r="D337" s="46" t="e">
        <f t="shared" si="29"/>
        <v>#NUM!</v>
      </c>
      <c r="E337" s="46" t="e">
        <f t="shared" si="30"/>
        <v>#NUM!</v>
      </c>
      <c r="F337" s="46" t="e">
        <f t="shared" si="31"/>
        <v>#NUM!</v>
      </c>
      <c r="G337" s="46" t="e">
        <f t="shared" si="32"/>
        <v>#NUM!</v>
      </c>
      <c r="H337" s="46">
        <f t="shared" si="33"/>
        <v>12235782002.8001</v>
      </c>
      <c r="I337" s="46">
        <f t="shared" si="34"/>
        <v>9614092613.99999</v>
      </c>
      <c r="J337" s="74">
        <f t="shared" si="35"/>
        <v>1</v>
      </c>
      <c r="K337" s="74"/>
      <c r="L337" s="74"/>
    </row>
    <row r="338" spans="1:12">
      <c r="A338" s="74">
        <v>311</v>
      </c>
      <c r="B338" s="45">
        <v>55488</v>
      </c>
      <c r="C338" s="46">
        <f t="shared" si="28"/>
        <v>54937672.08</v>
      </c>
      <c r="D338" s="46" t="e">
        <f t="shared" si="29"/>
        <v>#NUM!</v>
      </c>
      <c r="E338" s="46" t="e">
        <f t="shared" si="30"/>
        <v>#NUM!</v>
      </c>
      <c r="F338" s="46" t="e">
        <f t="shared" si="31"/>
        <v>#NUM!</v>
      </c>
      <c r="G338" s="46" t="e">
        <f t="shared" si="32"/>
        <v>#NUM!</v>
      </c>
      <c r="H338" s="46">
        <f t="shared" si="33"/>
        <v>12180844330.7201</v>
      </c>
      <c r="I338" s="46">
        <f t="shared" si="34"/>
        <v>9669030286.07999</v>
      </c>
      <c r="J338" s="74">
        <f t="shared" si="35"/>
        <v>1</v>
      </c>
      <c r="K338" s="74"/>
      <c r="L338" s="74"/>
    </row>
    <row r="339" spans="1:12">
      <c r="A339" s="74">
        <v>312</v>
      </c>
      <c r="B339" s="45">
        <v>55519</v>
      </c>
      <c r="C339" s="46">
        <f t="shared" si="28"/>
        <v>54937672.08</v>
      </c>
      <c r="D339" s="46" t="e">
        <f t="shared" si="29"/>
        <v>#NUM!</v>
      </c>
      <c r="E339" s="46" t="e">
        <f t="shared" si="30"/>
        <v>#NUM!</v>
      </c>
      <c r="F339" s="46" t="e">
        <f t="shared" si="31"/>
        <v>#NUM!</v>
      </c>
      <c r="G339" s="46" t="e">
        <f t="shared" si="32"/>
        <v>#NUM!</v>
      </c>
      <c r="H339" s="46">
        <f t="shared" si="33"/>
        <v>12125906658.6401</v>
      </c>
      <c r="I339" s="46">
        <f t="shared" si="34"/>
        <v>9723967958.15999</v>
      </c>
      <c r="J339" s="74">
        <f t="shared" si="35"/>
        <v>1</v>
      </c>
      <c r="K339" s="74"/>
      <c r="L339" s="74"/>
    </row>
    <row r="340" spans="1:12">
      <c r="A340" s="74">
        <v>313</v>
      </c>
      <c r="B340" s="45">
        <v>55550</v>
      </c>
      <c r="C340" s="46">
        <f t="shared" si="28"/>
        <v>54937672.08</v>
      </c>
      <c r="D340" s="46" t="e">
        <f t="shared" si="29"/>
        <v>#NUM!</v>
      </c>
      <c r="E340" s="46" t="e">
        <f t="shared" si="30"/>
        <v>#NUM!</v>
      </c>
      <c r="F340" s="46" t="e">
        <f t="shared" si="31"/>
        <v>#NUM!</v>
      </c>
      <c r="G340" s="46" t="e">
        <f t="shared" si="32"/>
        <v>#NUM!</v>
      </c>
      <c r="H340" s="46">
        <f t="shared" si="33"/>
        <v>12070968986.5601</v>
      </c>
      <c r="I340" s="46">
        <f t="shared" si="34"/>
        <v>9778905630.23999</v>
      </c>
      <c r="J340" s="74">
        <f t="shared" si="35"/>
        <v>1</v>
      </c>
      <c r="K340" s="74"/>
      <c r="L340" s="74"/>
    </row>
    <row r="341" spans="1:12">
      <c r="A341" s="74">
        <v>314</v>
      </c>
      <c r="B341" s="45">
        <v>55579</v>
      </c>
      <c r="C341" s="46">
        <f t="shared" si="28"/>
        <v>54937672.08</v>
      </c>
      <c r="D341" s="46" t="e">
        <f t="shared" si="29"/>
        <v>#NUM!</v>
      </c>
      <c r="E341" s="46" t="e">
        <f t="shared" si="30"/>
        <v>#NUM!</v>
      </c>
      <c r="F341" s="46" t="e">
        <f t="shared" si="31"/>
        <v>#NUM!</v>
      </c>
      <c r="G341" s="46" t="e">
        <f t="shared" si="32"/>
        <v>#NUM!</v>
      </c>
      <c r="H341" s="46">
        <f t="shared" si="33"/>
        <v>12016031314.4801</v>
      </c>
      <c r="I341" s="46">
        <f t="shared" si="34"/>
        <v>9833843302.31999</v>
      </c>
      <c r="J341" s="74">
        <f t="shared" si="35"/>
        <v>1</v>
      </c>
      <c r="K341" s="74"/>
      <c r="L341" s="74"/>
    </row>
    <row r="342" spans="1:12">
      <c r="A342" s="74">
        <v>315</v>
      </c>
      <c r="B342" s="45">
        <v>55610</v>
      </c>
      <c r="C342" s="46">
        <f t="shared" si="28"/>
        <v>54937672.08</v>
      </c>
      <c r="D342" s="46" t="e">
        <f t="shared" si="29"/>
        <v>#NUM!</v>
      </c>
      <c r="E342" s="46" t="e">
        <f t="shared" si="30"/>
        <v>#NUM!</v>
      </c>
      <c r="F342" s="46" t="e">
        <f t="shared" si="31"/>
        <v>#NUM!</v>
      </c>
      <c r="G342" s="46" t="e">
        <f t="shared" si="32"/>
        <v>#NUM!</v>
      </c>
      <c r="H342" s="46">
        <f t="shared" si="33"/>
        <v>11961093642.4001</v>
      </c>
      <c r="I342" s="46">
        <f t="shared" si="34"/>
        <v>9888780974.39999</v>
      </c>
      <c r="J342" s="74">
        <f t="shared" si="35"/>
        <v>1</v>
      </c>
      <c r="K342" s="74"/>
      <c r="L342" s="74"/>
    </row>
    <row r="343" spans="1:12">
      <c r="A343" s="74">
        <v>316</v>
      </c>
      <c r="B343" s="45">
        <v>55640</v>
      </c>
      <c r="C343" s="46">
        <f t="shared" si="28"/>
        <v>54937672.08</v>
      </c>
      <c r="D343" s="46" t="e">
        <f t="shared" si="29"/>
        <v>#NUM!</v>
      </c>
      <c r="E343" s="46" t="e">
        <f t="shared" si="30"/>
        <v>#NUM!</v>
      </c>
      <c r="F343" s="46" t="e">
        <f t="shared" si="31"/>
        <v>#NUM!</v>
      </c>
      <c r="G343" s="46" t="e">
        <f t="shared" si="32"/>
        <v>#NUM!</v>
      </c>
      <c r="H343" s="46">
        <f t="shared" si="33"/>
        <v>11906155970.3201</v>
      </c>
      <c r="I343" s="46">
        <f t="shared" si="34"/>
        <v>9943718646.47999</v>
      </c>
      <c r="J343" s="74">
        <f t="shared" si="35"/>
        <v>1</v>
      </c>
      <c r="K343" s="74"/>
      <c r="L343" s="74"/>
    </row>
    <row r="344" spans="1:12">
      <c r="A344" s="74">
        <v>317</v>
      </c>
      <c r="B344" s="45">
        <v>55671</v>
      </c>
      <c r="C344" s="46">
        <f t="shared" si="28"/>
        <v>54937672.08</v>
      </c>
      <c r="D344" s="46" t="e">
        <f t="shared" si="29"/>
        <v>#NUM!</v>
      </c>
      <c r="E344" s="46" t="e">
        <f t="shared" si="30"/>
        <v>#NUM!</v>
      </c>
      <c r="F344" s="46" t="e">
        <f t="shared" si="31"/>
        <v>#NUM!</v>
      </c>
      <c r="G344" s="46" t="e">
        <f t="shared" si="32"/>
        <v>#NUM!</v>
      </c>
      <c r="H344" s="46">
        <f t="shared" si="33"/>
        <v>11851218298.2401</v>
      </c>
      <c r="I344" s="46">
        <f t="shared" si="34"/>
        <v>9998656318.55999</v>
      </c>
      <c r="J344" s="74">
        <f t="shared" si="35"/>
        <v>1</v>
      </c>
      <c r="K344" s="74"/>
      <c r="L344" s="74"/>
    </row>
    <row r="345" spans="1:12">
      <c r="A345" s="74">
        <v>318</v>
      </c>
      <c r="B345" s="45">
        <v>55701</v>
      </c>
      <c r="C345" s="46">
        <f t="shared" si="28"/>
        <v>54937672.08</v>
      </c>
      <c r="D345" s="46" t="e">
        <f t="shared" si="29"/>
        <v>#NUM!</v>
      </c>
      <c r="E345" s="46" t="e">
        <f t="shared" si="30"/>
        <v>#NUM!</v>
      </c>
      <c r="F345" s="46" t="e">
        <f t="shared" si="31"/>
        <v>#NUM!</v>
      </c>
      <c r="G345" s="46" t="e">
        <f t="shared" si="32"/>
        <v>#NUM!</v>
      </c>
      <c r="H345" s="46">
        <f t="shared" si="33"/>
        <v>11796280626.1601</v>
      </c>
      <c r="I345" s="46">
        <f t="shared" si="34"/>
        <v>10053593990.64</v>
      </c>
      <c r="J345" s="74">
        <f t="shared" si="35"/>
        <v>1</v>
      </c>
      <c r="K345" s="74"/>
      <c r="L345" s="74"/>
    </row>
    <row r="346" spans="1:12">
      <c r="A346" s="74">
        <v>319</v>
      </c>
      <c r="B346" s="45">
        <v>55732</v>
      </c>
      <c r="C346" s="46">
        <f t="shared" si="28"/>
        <v>54937672.08</v>
      </c>
      <c r="D346" s="46" t="e">
        <f t="shared" si="29"/>
        <v>#NUM!</v>
      </c>
      <c r="E346" s="46" t="e">
        <f t="shared" si="30"/>
        <v>#NUM!</v>
      </c>
      <c r="F346" s="46" t="e">
        <f t="shared" si="31"/>
        <v>#NUM!</v>
      </c>
      <c r="G346" s="46" t="e">
        <f t="shared" si="32"/>
        <v>#NUM!</v>
      </c>
      <c r="H346" s="46">
        <f t="shared" si="33"/>
        <v>11741342954.0801</v>
      </c>
      <c r="I346" s="46">
        <f t="shared" si="34"/>
        <v>10108531662.72</v>
      </c>
      <c r="J346" s="74">
        <f t="shared" si="35"/>
        <v>1</v>
      </c>
      <c r="K346" s="74"/>
      <c r="L346" s="74"/>
    </row>
    <row r="347" spans="1:12">
      <c r="A347" s="74">
        <v>320</v>
      </c>
      <c r="B347" s="45">
        <v>55763</v>
      </c>
      <c r="C347" s="46">
        <f t="shared" si="28"/>
        <v>54937672.08</v>
      </c>
      <c r="D347" s="46" t="e">
        <f t="shared" si="29"/>
        <v>#NUM!</v>
      </c>
      <c r="E347" s="46" t="e">
        <f t="shared" si="30"/>
        <v>#NUM!</v>
      </c>
      <c r="F347" s="46" t="e">
        <f t="shared" si="31"/>
        <v>#NUM!</v>
      </c>
      <c r="G347" s="46" t="e">
        <f t="shared" si="32"/>
        <v>#NUM!</v>
      </c>
      <c r="H347" s="46">
        <f t="shared" si="33"/>
        <v>11686405282.0001</v>
      </c>
      <c r="I347" s="46">
        <f t="shared" si="34"/>
        <v>10163469334.8</v>
      </c>
      <c r="J347" s="74">
        <f t="shared" si="35"/>
        <v>1</v>
      </c>
      <c r="K347" s="74"/>
      <c r="L347" s="74"/>
    </row>
    <row r="348" spans="1:12">
      <c r="A348" s="74">
        <v>321</v>
      </c>
      <c r="B348" s="45">
        <v>55793</v>
      </c>
      <c r="C348" s="46">
        <f t="shared" si="28"/>
        <v>54937672.08</v>
      </c>
      <c r="D348" s="46" t="e">
        <f t="shared" si="29"/>
        <v>#NUM!</v>
      </c>
      <c r="E348" s="46" t="e">
        <f t="shared" si="30"/>
        <v>#NUM!</v>
      </c>
      <c r="F348" s="46" t="e">
        <f t="shared" si="31"/>
        <v>#NUM!</v>
      </c>
      <c r="G348" s="46" t="e">
        <f t="shared" si="32"/>
        <v>#NUM!</v>
      </c>
      <c r="H348" s="46">
        <f t="shared" si="33"/>
        <v>11631467609.9201</v>
      </c>
      <c r="I348" s="46">
        <f t="shared" si="34"/>
        <v>10218407006.88</v>
      </c>
      <c r="J348" s="74">
        <f t="shared" si="35"/>
        <v>1</v>
      </c>
      <c r="K348" s="74"/>
      <c r="L348" s="74"/>
    </row>
    <row r="349" spans="1:12">
      <c r="A349" s="74">
        <v>322</v>
      </c>
      <c r="B349" s="45">
        <v>55824</v>
      </c>
      <c r="C349" s="46">
        <f t="shared" si="28"/>
        <v>54937672.08</v>
      </c>
      <c r="D349" s="46" t="e">
        <f t="shared" si="29"/>
        <v>#NUM!</v>
      </c>
      <c r="E349" s="46" t="e">
        <f t="shared" si="30"/>
        <v>#NUM!</v>
      </c>
      <c r="F349" s="46" t="e">
        <f t="shared" si="31"/>
        <v>#NUM!</v>
      </c>
      <c r="G349" s="46" t="e">
        <f t="shared" si="32"/>
        <v>#NUM!</v>
      </c>
      <c r="H349" s="46">
        <f t="shared" si="33"/>
        <v>11576529937.8401</v>
      </c>
      <c r="I349" s="46">
        <f t="shared" si="34"/>
        <v>10273344678.96</v>
      </c>
      <c r="J349" s="74">
        <f t="shared" si="35"/>
        <v>1</v>
      </c>
      <c r="K349" s="74"/>
      <c r="L349" s="74"/>
    </row>
    <row r="350" spans="1:12">
      <c r="A350" s="74">
        <v>323</v>
      </c>
      <c r="B350" s="45">
        <v>55854</v>
      </c>
      <c r="C350" s="46">
        <f t="shared" si="28"/>
        <v>54937672.08</v>
      </c>
      <c r="D350" s="46" t="e">
        <f t="shared" si="29"/>
        <v>#NUM!</v>
      </c>
      <c r="E350" s="46" t="e">
        <f t="shared" si="30"/>
        <v>#NUM!</v>
      </c>
      <c r="F350" s="46" t="e">
        <f t="shared" si="31"/>
        <v>#NUM!</v>
      </c>
      <c r="G350" s="46" t="e">
        <f t="shared" si="32"/>
        <v>#NUM!</v>
      </c>
      <c r="H350" s="46">
        <f t="shared" si="33"/>
        <v>11521592265.7601</v>
      </c>
      <c r="I350" s="46">
        <f t="shared" si="34"/>
        <v>10328282351.04</v>
      </c>
      <c r="J350" s="74">
        <f t="shared" si="35"/>
        <v>1</v>
      </c>
      <c r="K350" s="74"/>
      <c r="L350" s="74"/>
    </row>
    <row r="351" spans="1:12">
      <c r="A351" s="74">
        <v>324</v>
      </c>
      <c r="B351" s="45">
        <v>55885</v>
      </c>
      <c r="C351" s="46">
        <f t="shared" si="28"/>
        <v>54937672.08</v>
      </c>
      <c r="D351" s="46" t="e">
        <f t="shared" si="29"/>
        <v>#NUM!</v>
      </c>
      <c r="E351" s="46" t="e">
        <f t="shared" si="30"/>
        <v>#NUM!</v>
      </c>
      <c r="F351" s="46" t="e">
        <f t="shared" si="31"/>
        <v>#NUM!</v>
      </c>
      <c r="G351" s="46" t="e">
        <f t="shared" si="32"/>
        <v>#NUM!</v>
      </c>
      <c r="H351" s="46">
        <f t="shared" si="33"/>
        <v>11466654593.6801</v>
      </c>
      <c r="I351" s="46">
        <f t="shared" si="34"/>
        <v>10383220023.12</v>
      </c>
      <c r="J351" s="74">
        <f t="shared" si="35"/>
        <v>1</v>
      </c>
      <c r="K351" s="74"/>
      <c r="L351" s="74"/>
    </row>
    <row r="352" spans="1:12">
      <c r="A352" s="74">
        <v>325</v>
      </c>
      <c r="B352" s="45">
        <v>55916</v>
      </c>
      <c r="C352" s="46">
        <f t="shared" si="28"/>
        <v>54937672.08</v>
      </c>
      <c r="D352" s="46" t="e">
        <f t="shared" si="29"/>
        <v>#NUM!</v>
      </c>
      <c r="E352" s="46" t="e">
        <f t="shared" si="30"/>
        <v>#NUM!</v>
      </c>
      <c r="F352" s="46" t="e">
        <f t="shared" si="31"/>
        <v>#NUM!</v>
      </c>
      <c r="G352" s="46" t="e">
        <f t="shared" si="32"/>
        <v>#NUM!</v>
      </c>
      <c r="H352" s="46">
        <f t="shared" si="33"/>
        <v>11411716921.6001</v>
      </c>
      <c r="I352" s="46">
        <f t="shared" si="34"/>
        <v>10438157695.2</v>
      </c>
      <c r="J352" s="74">
        <f t="shared" si="35"/>
        <v>1</v>
      </c>
      <c r="K352" s="74"/>
      <c r="L352" s="74"/>
    </row>
    <row r="353" spans="1:12">
      <c r="A353" s="74">
        <v>326</v>
      </c>
      <c r="B353" s="45">
        <v>55944</v>
      </c>
      <c r="C353" s="46">
        <f t="shared" si="28"/>
        <v>54937672.08</v>
      </c>
      <c r="D353" s="46" t="e">
        <f t="shared" si="29"/>
        <v>#NUM!</v>
      </c>
      <c r="E353" s="46" t="e">
        <f t="shared" si="30"/>
        <v>#NUM!</v>
      </c>
      <c r="F353" s="46" t="e">
        <f t="shared" si="31"/>
        <v>#NUM!</v>
      </c>
      <c r="G353" s="46" t="e">
        <f t="shared" si="32"/>
        <v>#NUM!</v>
      </c>
      <c r="H353" s="46">
        <f t="shared" si="33"/>
        <v>11356779249.5201</v>
      </c>
      <c r="I353" s="46">
        <f t="shared" si="34"/>
        <v>10493095367.28</v>
      </c>
      <c r="J353" s="74">
        <f t="shared" si="35"/>
        <v>1</v>
      </c>
      <c r="K353" s="74"/>
      <c r="L353" s="74"/>
    </row>
    <row r="354" spans="1:12">
      <c r="A354" s="74">
        <v>327</v>
      </c>
      <c r="B354" s="45">
        <v>55975</v>
      </c>
      <c r="C354" s="46">
        <f t="shared" si="28"/>
        <v>54937672.08</v>
      </c>
      <c r="D354" s="46" t="e">
        <f t="shared" si="29"/>
        <v>#NUM!</v>
      </c>
      <c r="E354" s="46" t="e">
        <f t="shared" si="30"/>
        <v>#NUM!</v>
      </c>
      <c r="F354" s="46" t="e">
        <f t="shared" si="31"/>
        <v>#NUM!</v>
      </c>
      <c r="G354" s="46" t="e">
        <f t="shared" si="32"/>
        <v>#NUM!</v>
      </c>
      <c r="H354" s="46">
        <f t="shared" si="33"/>
        <v>11301841577.4401</v>
      </c>
      <c r="I354" s="46">
        <f t="shared" si="34"/>
        <v>10548033039.36</v>
      </c>
      <c r="J354" s="74">
        <f t="shared" si="35"/>
        <v>1</v>
      </c>
      <c r="K354" s="74"/>
      <c r="L354" s="74"/>
    </row>
    <row r="355" spans="1:12">
      <c r="A355" s="74">
        <v>328</v>
      </c>
      <c r="B355" s="45">
        <v>56005</v>
      </c>
      <c r="C355" s="46">
        <f t="shared" ref="C355:C418" si="36">ROUND(-PMT($B$5/$B$11,$B$10,$B$4,0),2)</f>
        <v>54937672.08</v>
      </c>
      <c r="D355" s="46" t="e">
        <f t="shared" ref="D355:D418" si="37">ROUND(-PPMT($B$5/$B$11,A355,$B$10,$B$4,0),2)</f>
        <v>#NUM!</v>
      </c>
      <c r="E355" s="46" t="e">
        <f t="shared" ref="E355:E418" si="38">C355-D355</f>
        <v>#NUM!</v>
      </c>
      <c r="F355" s="46" t="e">
        <f t="shared" ref="F355:F418" si="39">D355+F354</f>
        <v>#NUM!</v>
      </c>
      <c r="G355" s="46" t="e">
        <f t="shared" ref="G355:G418" si="40">$B$4-F355</f>
        <v>#NUM!</v>
      </c>
      <c r="H355" s="46">
        <f t="shared" ref="H355:H418" si="41">SUM($C$28:$C$527)-I355</f>
        <v>11246903905.3601</v>
      </c>
      <c r="I355" s="46">
        <f t="shared" ref="I355:I418" si="42">C355+I354</f>
        <v>10602970711.44</v>
      </c>
      <c r="J355" s="74">
        <f t="shared" ref="J355:J418" si="43">DATEDIF(B354,B355,"M")</f>
        <v>1</v>
      </c>
      <c r="K355" s="74"/>
      <c r="L355" s="74"/>
    </row>
    <row r="356" spans="1:12">
      <c r="A356" s="74">
        <v>329</v>
      </c>
      <c r="B356" s="45">
        <v>56036</v>
      </c>
      <c r="C356" s="46">
        <f t="shared" si="36"/>
        <v>54937672.08</v>
      </c>
      <c r="D356" s="46" t="e">
        <f t="shared" si="37"/>
        <v>#NUM!</v>
      </c>
      <c r="E356" s="46" t="e">
        <f t="shared" si="38"/>
        <v>#NUM!</v>
      </c>
      <c r="F356" s="46" t="e">
        <f t="shared" si="39"/>
        <v>#NUM!</v>
      </c>
      <c r="G356" s="46" t="e">
        <f t="shared" si="40"/>
        <v>#NUM!</v>
      </c>
      <c r="H356" s="46">
        <f t="shared" si="41"/>
        <v>11191966233.2801</v>
      </c>
      <c r="I356" s="46">
        <f t="shared" si="42"/>
        <v>10657908383.52</v>
      </c>
      <c r="J356" s="74">
        <f t="shared" si="43"/>
        <v>1</v>
      </c>
      <c r="K356" s="74"/>
      <c r="L356" s="74"/>
    </row>
    <row r="357" spans="1:12">
      <c r="A357" s="74">
        <v>330</v>
      </c>
      <c r="B357" s="45">
        <v>56066</v>
      </c>
      <c r="C357" s="46">
        <f t="shared" si="36"/>
        <v>54937672.08</v>
      </c>
      <c r="D357" s="46" t="e">
        <f t="shared" si="37"/>
        <v>#NUM!</v>
      </c>
      <c r="E357" s="46" t="e">
        <f t="shared" si="38"/>
        <v>#NUM!</v>
      </c>
      <c r="F357" s="46" t="e">
        <f t="shared" si="39"/>
        <v>#NUM!</v>
      </c>
      <c r="G357" s="46" t="e">
        <f t="shared" si="40"/>
        <v>#NUM!</v>
      </c>
      <c r="H357" s="46">
        <f t="shared" si="41"/>
        <v>11137028561.2001</v>
      </c>
      <c r="I357" s="46">
        <f t="shared" si="42"/>
        <v>10712846055.6</v>
      </c>
      <c r="J357" s="74">
        <f t="shared" si="43"/>
        <v>1</v>
      </c>
      <c r="K357" s="74"/>
      <c r="L357" s="74"/>
    </row>
    <row r="358" spans="1:12">
      <c r="A358" s="74">
        <v>331</v>
      </c>
      <c r="B358" s="45">
        <v>56097</v>
      </c>
      <c r="C358" s="46">
        <f t="shared" si="36"/>
        <v>54937672.08</v>
      </c>
      <c r="D358" s="46" t="e">
        <f t="shared" si="37"/>
        <v>#NUM!</v>
      </c>
      <c r="E358" s="46" t="e">
        <f t="shared" si="38"/>
        <v>#NUM!</v>
      </c>
      <c r="F358" s="46" t="e">
        <f t="shared" si="39"/>
        <v>#NUM!</v>
      </c>
      <c r="G358" s="46" t="e">
        <f t="shared" si="40"/>
        <v>#NUM!</v>
      </c>
      <c r="H358" s="46">
        <f t="shared" si="41"/>
        <v>11082090889.1201</v>
      </c>
      <c r="I358" s="46">
        <f t="shared" si="42"/>
        <v>10767783727.68</v>
      </c>
      <c r="J358" s="74">
        <f t="shared" si="43"/>
        <v>1</v>
      </c>
      <c r="K358" s="74"/>
      <c r="L358" s="74"/>
    </row>
    <row r="359" spans="1:12">
      <c r="A359" s="74">
        <v>332</v>
      </c>
      <c r="B359" s="45">
        <v>56128</v>
      </c>
      <c r="C359" s="46">
        <f t="shared" si="36"/>
        <v>54937672.08</v>
      </c>
      <c r="D359" s="46" t="e">
        <f t="shared" si="37"/>
        <v>#NUM!</v>
      </c>
      <c r="E359" s="46" t="e">
        <f t="shared" si="38"/>
        <v>#NUM!</v>
      </c>
      <c r="F359" s="46" t="e">
        <f t="shared" si="39"/>
        <v>#NUM!</v>
      </c>
      <c r="G359" s="46" t="e">
        <f t="shared" si="40"/>
        <v>#NUM!</v>
      </c>
      <c r="H359" s="46">
        <f t="shared" si="41"/>
        <v>11027153217.0401</v>
      </c>
      <c r="I359" s="46">
        <f t="shared" si="42"/>
        <v>10822721399.76</v>
      </c>
      <c r="J359" s="74">
        <f t="shared" si="43"/>
        <v>1</v>
      </c>
      <c r="K359" s="74"/>
      <c r="L359" s="74"/>
    </row>
    <row r="360" spans="1:12">
      <c r="A360" s="74">
        <v>333</v>
      </c>
      <c r="B360" s="45">
        <v>56158</v>
      </c>
      <c r="C360" s="46">
        <f t="shared" si="36"/>
        <v>54937672.08</v>
      </c>
      <c r="D360" s="46" t="e">
        <f t="shared" si="37"/>
        <v>#NUM!</v>
      </c>
      <c r="E360" s="46" t="e">
        <f t="shared" si="38"/>
        <v>#NUM!</v>
      </c>
      <c r="F360" s="46" t="e">
        <f t="shared" si="39"/>
        <v>#NUM!</v>
      </c>
      <c r="G360" s="46" t="e">
        <f t="shared" si="40"/>
        <v>#NUM!</v>
      </c>
      <c r="H360" s="46">
        <f t="shared" si="41"/>
        <v>10972215544.9601</v>
      </c>
      <c r="I360" s="46">
        <f t="shared" si="42"/>
        <v>10877659071.84</v>
      </c>
      <c r="J360" s="74">
        <f t="shared" si="43"/>
        <v>1</v>
      </c>
      <c r="K360" s="74"/>
      <c r="L360" s="74"/>
    </row>
    <row r="361" spans="1:12">
      <c r="A361" s="74">
        <v>334</v>
      </c>
      <c r="B361" s="45">
        <v>56189</v>
      </c>
      <c r="C361" s="46">
        <f t="shared" si="36"/>
        <v>54937672.08</v>
      </c>
      <c r="D361" s="46" t="e">
        <f t="shared" si="37"/>
        <v>#NUM!</v>
      </c>
      <c r="E361" s="46" t="e">
        <f t="shared" si="38"/>
        <v>#NUM!</v>
      </c>
      <c r="F361" s="46" t="e">
        <f t="shared" si="39"/>
        <v>#NUM!</v>
      </c>
      <c r="G361" s="46" t="e">
        <f t="shared" si="40"/>
        <v>#NUM!</v>
      </c>
      <c r="H361" s="46">
        <f t="shared" si="41"/>
        <v>10917277872.8801</v>
      </c>
      <c r="I361" s="46">
        <f t="shared" si="42"/>
        <v>10932596743.92</v>
      </c>
      <c r="J361" s="74">
        <f t="shared" si="43"/>
        <v>1</v>
      </c>
      <c r="K361" s="74"/>
      <c r="L361" s="74"/>
    </row>
    <row r="362" spans="1:12">
      <c r="A362" s="74">
        <v>335</v>
      </c>
      <c r="B362" s="45">
        <v>56219</v>
      </c>
      <c r="C362" s="46">
        <f t="shared" si="36"/>
        <v>54937672.08</v>
      </c>
      <c r="D362" s="46" t="e">
        <f t="shared" si="37"/>
        <v>#NUM!</v>
      </c>
      <c r="E362" s="46" t="e">
        <f t="shared" si="38"/>
        <v>#NUM!</v>
      </c>
      <c r="F362" s="46" t="e">
        <f t="shared" si="39"/>
        <v>#NUM!</v>
      </c>
      <c r="G362" s="46" t="e">
        <f t="shared" si="40"/>
        <v>#NUM!</v>
      </c>
      <c r="H362" s="46">
        <f t="shared" si="41"/>
        <v>10862340200.8001</v>
      </c>
      <c r="I362" s="46">
        <f t="shared" si="42"/>
        <v>10987534416</v>
      </c>
      <c r="J362" s="74">
        <f t="shared" si="43"/>
        <v>1</v>
      </c>
      <c r="K362" s="74"/>
      <c r="L362" s="74"/>
    </row>
    <row r="363" spans="1:12">
      <c r="A363" s="74">
        <v>336</v>
      </c>
      <c r="B363" s="45">
        <v>56250</v>
      </c>
      <c r="C363" s="46">
        <f t="shared" si="36"/>
        <v>54937672.08</v>
      </c>
      <c r="D363" s="46" t="e">
        <f t="shared" si="37"/>
        <v>#NUM!</v>
      </c>
      <c r="E363" s="46" t="e">
        <f t="shared" si="38"/>
        <v>#NUM!</v>
      </c>
      <c r="F363" s="46" t="e">
        <f t="shared" si="39"/>
        <v>#NUM!</v>
      </c>
      <c r="G363" s="46" t="e">
        <f t="shared" si="40"/>
        <v>#NUM!</v>
      </c>
      <c r="H363" s="46">
        <f t="shared" si="41"/>
        <v>10807402528.7201</v>
      </c>
      <c r="I363" s="46">
        <f t="shared" si="42"/>
        <v>11042472088.08</v>
      </c>
      <c r="J363" s="74">
        <f t="shared" si="43"/>
        <v>1</v>
      </c>
      <c r="K363" s="74"/>
      <c r="L363" s="74"/>
    </row>
    <row r="364" spans="1:12">
      <c r="A364" s="74">
        <v>337</v>
      </c>
      <c r="B364" s="45">
        <v>56281</v>
      </c>
      <c r="C364" s="46">
        <f t="shared" si="36"/>
        <v>54937672.08</v>
      </c>
      <c r="D364" s="46" t="e">
        <f t="shared" si="37"/>
        <v>#NUM!</v>
      </c>
      <c r="E364" s="46" t="e">
        <f t="shared" si="38"/>
        <v>#NUM!</v>
      </c>
      <c r="F364" s="46" t="e">
        <f t="shared" si="39"/>
        <v>#NUM!</v>
      </c>
      <c r="G364" s="46" t="e">
        <f t="shared" si="40"/>
        <v>#NUM!</v>
      </c>
      <c r="H364" s="46">
        <f t="shared" si="41"/>
        <v>10752464856.6402</v>
      </c>
      <c r="I364" s="46">
        <f t="shared" si="42"/>
        <v>11097409760.16</v>
      </c>
      <c r="J364" s="74">
        <f t="shared" si="43"/>
        <v>1</v>
      </c>
      <c r="K364" s="74"/>
      <c r="L364" s="74"/>
    </row>
    <row r="365" spans="1:12">
      <c r="A365" s="74">
        <v>338</v>
      </c>
      <c r="B365" s="45">
        <v>56309</v>
      </c>
      <c r="C365" s="46">
        <f t="shared" si="36"/>
        <v>54937672.08</v>
      </c>
      <c r="D365" s="46" t="e">
        <f t="shared" si="37"/>
        <v>#NUM!</v>
      </c>
      <c r="E365" s="46" t="e">
        <f t="shared" si="38"/>
        <v>#NUM!</v>
      </c>
      <c r="F365" s="46" t="e">
        <f t="shared" si="39"/>
        <v>#NUM!</v>
      </c>
      <c r="G365" s="46" t="e">
        <f t="shared" si="40"/>
        <v>#NUM!</v>
      </c>
      <c r="H365" s="46">
        <f t="shared" si="41"/>
        <v>10697527184.5602</v>
      </c>
      <c r="I365" s="46">
        <f t="shared" si="42"/>
        <v>11152347432.24</v>
      </c>
      <c r="J365" s="74">
        <f t="shared" si="43"/>
        <v>1</v>
      </c>
      <c r="K365" s="74"/>
      <c r="L365" s="74"/>
    </row>
    <row r="366" spans="1:12">
      <c r="A366" s="74">
        <v>339</v>
      </c>
      <c r="B366" s="45">
        <v>56340</v>
      </c>
      <c r="C366" s="46">
        <f t="shared" si="36"/>
        <v>54937672.08</v>
      </c>
      <c r="D366" s="46" t="e">
        <f t="shared" si="37"/>
        <v>#NUM!</v>
      </c>
      <c r="E366" s="46" t="e">
        <f t="shared" si="38"/>
        <v>#NUM!</v>
      </c>
      <c r="F366" s="46" t="e">
        <f t="shared" si="39"/>
        <v>#NUM!</v>
      </c>
      <c r="G366" s="46" t="e">
        <f t="shared" si="40"/>
        <v>#NUM!</v>
      </c>
      <c r="H366" s="46">
        <f t="shared" si="41"/>
        <v>10642589512.4802</v>
      </c>
      <c r="I366" s="46">
        <f t="shared" si="42"/>
        <v>11207285104.32</v>
      </c>
      <c r="J366" s="74">
        <f t="shared" si="43"/>
        <v>1</v>
      </c>
      <c r="K366" s="74"/>
      <c r="L366" s="74"/>
    </row>
    <row r="367" spans="1:12">
      <c r="A367" s="74">
        <v>340</v>
      </c>
      <c r="B367" s="45">
        <v>56370</v>
      </c>
      <c r="C367" s="46">
        <f t="shared" si="36"/>
        <v>54937672.08</v>
      </c>
      <c r="D367" s="46" t="e">
        <f t="shared" si="37"/>
        <v>#NUM!</v>
      </c>
      <c r="E367" s="46" t="e">
        <f t="shared" si="38"/>
        <v>#NUM!</v>
      </c>
      <c r="F367" s="46" t="e">
        <f t="shared" si="39"/>
        <v>#NUM!</v>
      </c>
      <c r="G367" s="46" t="e">
        <f t="shared" si="40"/>
        <v>#NUM!</v>
      </c>
      <c r="H367" s="46">
        <f t="shared" si="41"/>
        <v>10587651840.4002</v>
      </c>
      <c r="I367" s="46">
        <f t="shared" si="42"/>
        <v>11262222776.4</v>
      </c>
      <c r="J367" s="74">
        <f t="shared" si="43"/>
        <v>1</v>
      </c>
      <c r="K367" s="74"/>
      <c r="L367" s="74"/>
    </row>
    <row r="368" spans="1:12">
      <c r="A368" s="74">
        <v>341</v>
      </c>
      <c r="B368" s="45">
        <v>56401</v>
      </c>
      <c r="C368" s="46">
        <f t="shared" si="36"/>
        <v>54937672.08</v>
      </c>
      <c r="D368" s="46" t="e">
        <f t="shared" si="37"/>
        <v>#NUM!</v>
      </c>
      <c r="E368" s="46" t="e">
        <f t="shared" si="38"/>
        <v>#NUM!</v>
      </c>
      <c r="F368" s="46" t="e">
        <f t="shared" si="39"/>
        <v>#NUM!</v>
      </c>
      <c r="G368" s="46" t="e">
        <f t="shared" si="40"/>
        <v>#NUM!</v>
      </c>
      <c r="H368" s="46">
        <f t="shared" si="41"/>
        <v>10532714168.3202</v>
      </c>
      <c r="I368" s="46">
        <f t="shared" si="42"/>
        <v>11317160448.48</v>
      </c>
      <c r="J368" s="74">
        <f t="shared" si="43"/>
        <v>1</v>
      </c>
      <c r="K368" s="74"/>
      <c r="L368" s="74"/>
    </row>
    <row r="369" spans="1:12">
      <c r="A369" s="74">
        <v>342</v>
      </c>
      <c r="B369" s="45">
        <v>56431</v>
      </c>
      <c r="C369" s="46">
        <f t="shared" si="36"/>
        <v>54937672.08</v>
      </c>
      <c r="D369" s="46" t="e">
        <f t="shared" si="37"/>
        <v>#NUM!</v>
      </c>
      <c r="E369" s="46" t="e">
        <f t="shared" si="38"/>
        <v>#NUM!</v>
      </c>
      <c r="F369" s="46" t="e">
        <f t="shared" si="39"/>
        <v>#NUM!</v>
      </c>
      <c r="G369" s="46" t="e">
        <f t="shared" si="40"/>
        <v>#NUM!</v>
      </c>
      <c r="H369" s="46">
        <f t="shared" si="41"/>
        <v>10477776496.2402</v>
      </c>
      <c r="I369" s="46">
        <f t="shared" si="42"/>
        <v>11372098120.56</v>
      </c>
      <c r="J369" s="74">
        <f t="shared" si="43"/>
        <v>1</v>
      </c>
      <c r="K369" s="74"/>
      <c r="L369" s="74"/>
    </row>
    <row r="370" spans="1:12">
      <c r="A370" s="74">
        <v>343</v>
      </c>
      <c r="B370" s="45">
        <v>56462</v>
      </c>
      <c r="C370" s="46">
        <f t="shared" si="36"/>
        <v>54937672.08</v>
      </c>
      <c r="D370" s="46" t="e">
        <f t="shared" si="37"/>
        <v>#NUM!</v>
      </c>
      <c r="E370" s="46" t="e">
        <f t="shared" si="38"/>
        <v>#NUM!</v>
      </c>
      <c r="F370" s="46" t="e">
        <f t="shared" si="39"/>
        <v>#NUM!</v>
      </c>
      <c r="G370" s="46" t="e">
        <f t="shared" si="40"/>
        <v>#NUM!</v>
      </c>
      <c r="H370" s="46">
        <f t="shared" si="41"/>
        <v>10422838824.1602</v>
      </c>
      <c r="I370" s="46">
        <f t="shared" si="42"/>
        <v>11427035792.64</v>
      </c>
      <c r="J370" s="74">
        <f t="shared" si="43"/>
        <v>1</v>
      </c>
      <c r="K370" s="74"/>
      <c r="L370" s="74"/>
    </row>
    <row r="371" spans="1:12">
      <c r="A371" s="74">
        <v>344</v>
      </c>
      <c r="B371" s="45">
        <v>56493</v>
      </c>
      <c r="C371" s="46">
        <f t="shared" si="36"/>
        <v>54937672.08</v>
      </c>
      <c r="D371" s="46" t="e">
        <f t="shared" si="37"/>
        <v>#NUM!</v>
      </c>
      <c r="E371" s="46" t="e">
        <f t="shared" si="38"/>
        <v>#NUM!</v>
      </c>
      <c r="F371" s="46" t="e">
        <f t="shared" si="39"/>
        <v>#NUM!</v>
      </c>
      <c r="G371" s="46" t="e">
        <f t="shared" si="40"/>
        <v>#NUM!</v>
      </c>
      <c r="H371" s="46">
        <f t="shared" si="41"/>
        <v>10367901152.0802</v>
      </c>
      <c r="I371" s="46">
        <f t="shared" si="42"/>
        <v>11481973464.72</v>
      </c>
      <c r="J371" s="74">
        <f t="shared" si="43"/>
        <v>1</v>
      </c>
      <c r="K371" s="74"/>
      <c r="L371" s="74"/>
    </row>
    <row r="372" spans="1:12">
      <c r="A372" s="74">
        <v>345</v>
      </c>
      <c r="B372" s="45">
        <v>56523</v>
      </c>
      <c r="C372" s="46">
        <f t="shared" si="36"/>
        <v>54937672.08</v>
      </c>
      <c r="D372" s="46" t="e">
        <f t="shared" si="37"/>
        <v>#NUM!</v>
      </c>
      <c r="E372" s="46" t="e">
        <f t="shared" si="38"/>
        <v>#NUM!</v>
      </c>
      <c r="F372" s="46" t="e">
        <f t="shared" si="39"/>
        <v>#NUM!</v>
      </c>
      <c r="G372" s="46" t="e">
        <f t="shared" si="40"/>
        <v>#NUM!</v>
      </c>
      <c r="H372" s="46">
        <f t="shared" si="41"/>
        <v>10312963480.0002</v>
      </c>
      <c r="I372" s="46">
        <f t="shared" si="42"/>
        <v>11536911136.8</v>
      </c>
      <c r="J372" s="74">
        <f t="shared" si="43"/>
        <v>1</v>
      </c>
      <c r="K372" s="74"/>
      <c r="L372" s="74"/>
    </row>
    <row r="373" spans="1:12">
      <c r="A373" s="74">
        <v>346</v>
      </c>
      <c r="B373" s="45">
        <v>56554</v>
      </c>
      <c r="C373" s="46">
        <f t="shared" si="36"/>
        <v>54937672.08</v>
      </c>
      <c r="D373" s="46" t="e">
        <f t="shared" si="37"/>
        <v>#NUM!</v>
      </c>
      <c r="E373" s="46" t="e">
        <f t="shared" si="38"/>
        <v>#NUM!</v>
      </c>
      <c r="F373" s="46" t="e">
        <f t="shared" si="39"/>
        <v>#NUM!</v>
      </c>
      <c r="G373" s="46" t="e">
        <f t="shared" si="40"/>
        <v>#NUM!</v>
      </c>
      <c r="H373" s="46">
        <f t="shared" si="41"/>
        <v>10258025807.9202</v>
      </c>
      <c r="I373" s="46">
        <f t="shared" si="42"/>
        <v>11591848808.88</v>
      </c>
      <c r="J373" s="74">
        <f t="shared" si="43"/>
        <v>1</v>
      </c>
      <c r="K373" s="74"/>
      <c r="L373" s="74"/>
    </row>
    <row r="374" spans="1:12">
      <c r="A374" s="74">
        <v>347</v>
      </c>
      <c r="B374" s="45">
        <v>56584</v>
      </c>
      <c r="C374" s="46">
        <f t="shared" si="36"/>
        <v>54937672.08</v>
      </c>
      <c r="D374" s="46" t="e">
        <f t="shared" si="37"/>
        <v>#NUM!</v>
      </c>
      <c r="E374" s="46" t="e">
        <f t="shared" si="38"/>
        <v>#NUM!</v>
      </c>
      <c r="F374" s="46" t="e">
        <f t="shared" si="39"/>
        <v>#NUM!</v>
      </c>
      <c r="G374" s="46" t="e">
        <f t="shared" si="40"/>
        <v>#NUM!</v>
      </c>
      <c r="H374" s="46">
        <f t="shared" si="41"/>
        <v>10203088135.8402</v>
      </c>
      <c r="I374" s="46">
        <f t="shared" si="42"/>
        <v>11646786480.96</v>
      </c>
      <c r="J374" s="74">
        <f t="shared" si="43"/>
        <v>1</v>
      </c>
      <c r="K374" s="74"/>
      <c r="L374" s="74"/>
    </row>
    <row r="375" spans="1:12">
      <c r="A375" s="74">
        <v>348</v>
      </c>
      <c r="B375" s="45">
        <v>56615</v>
      </c>
      <c r="C375" s="46">
        <f t="shared" si="36"/>
        <v>54937672.08</v>
      </c>
      <c r="D375" s="46" t="e">
        <f t="shared" si="37"/>
        <v>#NUM!</v>
      </c>
      <c r="E375" s="46" t="e">
        <f t="shared" si="38"/>
        <v>#NUM!</v>
      </c>
      <c r="F375" s="46" t="e">
        <f t="shared" si="39"/>
        <v>#NUM!</v>
      </c>
      <c r="G375" s="46" t="e">
        <f t="shared" si="40"/>
        <v>#NUM!</v>
      </c>
      <c r="H375" s="46">
        <f t="shared" si="41"/>
        <v>10148150463.7602</v>
      </c>
      <c r="I375" s="46">
        <f t="shared" si="42"/>
        <v>11701724153.04</v>
      </c>
      <c r="J375" s="74">
        <f t="shared" si="43"/>
        <v>1</v>
      </c>
      <c r="K375" s="74"/>
      <c r="L375" s="74"/>
    </row>
    <row r="376" spans="1:12">
      <c r="A376" s="74">
        <v>349</v>
      </c>
      <c r="B376" s="45">
        <v>56646</v>
      </c>
      <c r="C376" s="46">
        <f t="shared" si="36"/>
        <v>54937672.08</v>
      </c>
      <c r="D376" s="46" t="e">
        <f t="shared" si="37"/>
        <v>#NUM!</v>
      </c>
      <c r="E376" s="46" t="e">
        <f t="shared" si="38"/>
        <v>#NUM!</v>
      </c>
      <c r="F376" s="46" t="e">
        <f t="shared" si="39"/>
        <v>#NUM!</v>
      </c>
      <c r="G376" s="46" t="e">
        <f t="shared" si="40"/>
        <v>#NUM!</v>
      </c>
      <c r="H376" s="46">
        <f t="shared" si="41"/>
        <v>10093212791.6802</v>
      </c>
      <c r="I376" s="46">
        <f t="shared" si="42"/>
        <v>11756661825.12</v>
      </c>
      <c r="J376" s="74">
        <f t="shared" si="43"/>
        <v>1</v>
      </c>
      <c r="K376" s="74"/>
      <c r="L376" s="74"/>
    </row>
    <row r="377" spans="1:12">
      <c r="A377" s="74">
        <v>350</v>
      </c>
      <c r="B377" s="45">
        <v>56674</v>
      </c>
      <c r="C377" s="46">
        <f t="shared" si="36"/>
        <v>54937672.08</v>
      </c>
      <c r="D377" s="46" t="e">
        <f t="shared" si="37"/>
        <v>#NUM!</v>
      </c>
      <c r="E377" s="46" t="e">
        <f t="shared" si="38"/>
        <v>#NUM!</v>
      </c>
      <c r="F377" s="46" t="e">
        <f t="shared" si="39"/>
        <v>#NUM!</v>
      </c>
      <c r="G377" s="46" t="e">
        <f t="shared" si="40"/>
        <v>#NUM!</v>
      </c>
      <c r="H377" s="46">
        <f t="shared" si="41"/>
        <v>10038275119.6002</v>
      </c>
      <c r="I377" s="46">
        <f t="shared" si="42"/>
        <v>11811599497.2</v>
      </c>
      <c r="J377" s="74">
        <f t="shared" si="43"/>
        <v>1</v>
      </c>
      <c r="K377" s="74"/>
      <c r="L377" s="74"/>
    </row>
    <row r="378" spans="1:12">
      <c r="A378" s="74">
        <v>351</v>
      </c>
      <c r="B378" s="45">
        <v>56705</v>
      </c>
      <c r="C378" s="46">
        <f t="shared" si="36"/>
        <v>54937672.08</v>
      </c>
      <c r="D378" s="46" t="e">
        <f t="shared" si="37"/>
        <v>#NUM!</v>
      </c>
      <c r="E378" s="46" t="e">
        <f t="shared" si="38"/>
        <v>#NUM!</v>
      </c>
      <c r="F378" s="46" t="e">
        <f t="shared" si="39"/>
        <v>#NUM!</v>
      </c>
      <c r="G378" s="46" t="e">
        <f t="shared" si="40"/>
        <v>#NUM!</v>
      </c>
      <c r="H378" s="46">
        <f t="shared" si="41"/>
        <v>9983337447.52015</v>
      </c>
      <c r="I378" s="46">
        <f t="shared" si="42"/>
        <v>11866537169.28</v>
      </c>
      <c r="J378" s="74">
        <f t="shared" si="43"/>
        <v>1</v>
      </c>
      <c r="K378" s="74"/>
      <c r="L378" s="74"/>
    </row>
    <row r="379" spans="1:12">
      <c r="A379" s="74">
        <v>352</v>
      </c>
      <c r="B379" s="45">
        <v>56735</v>
      </c>
      <c r="C379" s="46">
        <f t="shared" si="36"/>
        <v>54937672.08</v>
      </c>
      <c r="D379" s="46" t="e">
        <f t="shared" si="37"/>
        <v>#NUM!</v>
      </c>
      <c r="E379" s="46" t="e">
        <f t="shared" si="38"/>
        <v>#NUM!</v>
      </c>
      <c r="F379" s="46" t="e">
        <f t="shared" si="39"/>
        <v>#NUM!</v>
      </c>
      <c r="G379" s="46" t="e">
        <f t="shared" si="40"/>
        <v>#NUM!</v>
      </c>
      <c r="H379" s="46">
        <f t="shared" si="41"/>
        <v>9928399775.44015</v>
      </c>
      <c r="I379" s="46">
        <f t="shared" si="42"/>
        <v>11921474841.36</v>
      </c>
      <c r="J379" s="74">
        <f t="shared" si="43"/>
        <v>1</v>
      </c>
      <c r="K379" s="74"/>
      <c r="L379" s="74"/>
    </row>
    <row r="380" spans="1:12">
      <c r="A380" s="74">
        <v>353</v>
      </c>
      <c r="B380" s="45">
        <v>56766</v>
      </c>
      <c r="C380" s="46">
        <f t="shared" si="36"/>
        <v>54937672.08</v>
      </c>
      <c r="D380" s="46" t="e">
        <f t="shared" si="37"/>
        <v>#NUM!</v>
      </c>
      <c r="E380" s="46" t="e">
        <f t="shared" si="38"/>
        <v>#NUM!</v>
      </c>
      <c r="F380" s="46" t="e">
        <f t="shared" si="39"/>
        <v>#NUM!</v>
      </c>
      <c r="G380" s="46" t="e">
        <f t="shared" si="40"/>
        <v>#NUM!</v>
      </c>
      <c r="H380" s="46">
        <f t="shared" si="41"/>
        <v>9873462103.36015</v>
      </c>
      <c r="I380" s="46">
        <f t="shared" si="42"/>
        <v>11976412513.44</v>
      </c>
      <c r="J380" s="74">
        <f t="shared" si="43"/>
        <v>1</v>
      </c>
      <c r="K380" s="74"/>
      <c r="L380" s="74"/>
    </row>
    <row r="381" spans="1:12">
      <c r="A381" s="74">
        <v>354</v>
      </c>
      <c r="B381" s="45">
        <v>56796</v>
      </c>
      <c r="C381" s="46">
        <f t="shared" si="36"/>
        <v>54937672.08</v>
      </c>
      <c r="D381" s="46" t="e">
        <f t="shared" si="37"/>
        <v>#NUM!</v>
      </c>
      <c r="E381" s="46" t="e">
        <f t="shared" si="38"/>
        <v>#NUM!</v>
      </c>
      <c r="F381" s="46" t="e">
        <f t="shared" si="39"/>
        <v>#NUM!</v>
      </c>
      <c r="G381" s="46" t="e">
        <f t="shared" si="40"/>
        <v>#NUM!</v>
      </c>
      <c r="H381" s="46">
        <f t="shared" si="41"/>
        <v>9818524431.28015</v>
      </c>
      <c r="I381" s="46">
        <f t="shared" si="42"/>
        <v>12031350185.52</v>
      </c>
      <c r="J381" s="74">
        <f t="shared" si="43"/>
        <v>1</v>
      </c>
      <c r="K381" s="74"/>
      <c r="L381" s="74"/>
    </row>
    <row r="382" spans="1:12">
      <c r="A382" s="74">
        <v>355</v>
      </c>
      <c r="B382" s="45">
        <v>56827</v>
      </c>
      <c r="C382" s="46">
        <f t="shared" si="36"/>
        <v>54937672.08</v>
      </c>
      <c r="D382" s="46" t="e">
        <f t="shared" si="37"/>
        <v>#NUM!</v>
      </c>
      <c r="E382" s="46" t="e">
        <f t="shared" si="38"/>
        <v>#NUM!</v>
      </c>
      <c r="F382" s="46" t="e">
        <f t="shared" si="39"/>
        <v>#NUM!</v>
      </c>
      <c r="G382" s="46" t="e">
        <f t="shared" si="40"/>
        <v>#NUM!</v>
      </c>
      <c r="H382" s="46">
        <f t="shared" si="41"/>
        <v>9763586759.20015</v>
      </c>
      <c r="I382" s="46">
        <f t="shared" si="42"/>
        <v>12086287857.6</v>
      </c>
      <c r="J382" s="74">
        <f t="shared" si="43"/>
        <v>1</v>
      </c>
      <c r="K382" s="74"/>
      <c r="L382" s="74"/>
    </row>
    <row r="383" spans="1:12">
      <c r="A383" s="74">
        <v>356</v>
      </c>
      <c r="B383" s="45">
        <v>56858</v>
      </c>
      <c r="C383" s="46">
        <f t="shared" si="36"/>
        <v>54937672.08</v>
      </c>
      <c r="D383" s="46" t="e">
        <f t="shared" si="37"/>
        <v>#NUM!</v>
      </c>
      <c r="E383" s="46" t="e">
        <f t="shared" si="38"/>
        <v>#NUM!</v>
      </c>
      <c r="F383" s="46" t="e">
        <f t="shared" si="39"/>
        <v>#NUM!</v>
      </c>
      <c r="G383" s="46" t="e">
        <f t="shared" si="40"/>
        <v>#NUM!</v>
      </c>
      <c r="H383" s="46">
        <f t="shared" si="41"/>
        <v>9708649087.12015</v>
      </c>
      <c r="I383" s="46">
        <f t="shared" si="42"/>
        <v>12141225529.68</v>
      </c>
      <c r="J383" s="74">
        <f t="shared" si="43"/>
        <v>1</v>
      </c>
      <c r="K383" s="74"/>
      <c r="L383" s="74"/>
    </row>
    <row r="384" spans="1:12">
      <c r="A384" s="74">
        <v>357</v>
      </c>
      <c r="B384" s="45">
        <v>56888</v>
      </c>
      <c r="C384" s="46">
        <f t="shared" si="36"/>
        <v>54937672.08</v>
      </c>
      <c r="D384" s="46" t="e">
        <f t="shared" si="37"/>
        <v>#NUM!</v>
      </c>
      <c r="E384" s="46" t="e">
        <f t="shared" si="38"/>
        <v>#NUM!</v>
      </c>
      <c r="F384" s="46" t="e">
        <f t="shared" si="39"/>
        <v>#NUM!</v>
      </c>
      <c r="G384" s="46" t="e">
        <f t="shared" si="40"/>
        <v>#NUM!</v>
      </c>
      <c r="H384" s="46">
        <f t="shared" si="41"/>
        <v>9653711415.04015</v>
      </c>
      <c r="I384" s="46">
        <f t="shared" si="42"/>
        <v>12196163201.76</v>
      </c>
      <c r="J384" s="74">
        <f t="shared" si="43"/>
        <v>1</v>
      </c>
      <c r="K384" s="74"/>
      <c r="L384" s="74"/>
    </row>
    <row r="385" spans="1:12">
      <c r="A385" s="74">
        <v>358</v>
      </c>
      <c r="B385" s="45">
        <v>56919</v>
      </c>
      <c r="C385" s="46">
        <f t="shared" si="36"/>
        <v>54937672.08</v>
      </c>
      <c r="D385" s="46" t="e">
        <f t="shared" si="37"/>
        <v>#NUM!</v>
      </c>
      <c r="E385" s="46" t="e">
        <f t="shared" si="38"/>
        <v>#NUM!</v>
      </c>
      <c r="F385" s="46" t="e">
        <f t="shared" si="39"/>
        <v>#NUM!</v>
      </c>
      <c r="G385" s="46" t="e">
        <f t="shared" si="40"/>
        <v>#NUM!</v>
      </c>
      <c r="H385" s="46">
        <f t="shared" si="41"/>
        <v>9598773742.96015</v>
      </c>
      <c r="I385" s="46">
        <f t="shared" si="42"/>
        <v>12251100873.84</v>
      </c>
      <c r="J385" s="74">
        <f t="shared" si="43"/>
        <v>1</v>
      </c>
      <c r="K385" s="74"/>
      <c r="L385" s="74"/>
    </row>
    <row r="386" spans="1:12">
      <c r="A386" s="74">
        <v>359</v>
      </c>
      <c r="B386" s="45">
        <v>56949</v>
      </c>
      <c r="C386" s="46">
        <f t="shared" si="36"/>
        <v>54937672.08</v>
      </c>
      <c r="D386" s="46" t="e">
        <f t="shared" si="37"/>
        <v>#NUM!</v>
      </c>
      <c r="E386" s="46" t="e">
        <f t="shared" si="38"/>
        <v>#NUM!</v>
      </c>
      <c r="F386" s="46" t="e">
        <f t="shared" si="39"/>
        <v>#NUM!</v>
      </c>
      <c r="G386" s="46" t="e">
        <f t="shared" si="40"/>
        <v>#NUM!</v>
      </c>
      <c r="H386" s="46">
        <f t="shared" si="41"/>
        <v>9543836070.88015</v>
      </c>
      <c r="I386" s="46">
        <f t="shared" si="42"/>
        <v>12306038545.92</v>
      </c>
      <c r="J386" s="74">
        <f t="shared" si="43"/>
        <v>1</v>
      </c>
      <c r="K386" s="74"/>
      <c r="L386" s="74"/>
    </row>
    <row r="387" spans="1:12">
      <c r="A387" s="74">
        <v>360</v>
      </c>
      <c r="B387" s="45">
        <v>56980</v>
      </c>
      <c r="C387" s="46">
        <f t="shared" si="36"/>
        <v>54937672.08</v>
      </c>
      <c r="D387" s="46" t="e">
        <f t="shared" si="37"/>
        <v>#NUM!</v>
      </c>
      <c r="E387" s="46" t="e">
        <f t="shared" si="38"/>
        <v>#NUM!</v>
      </c>
      <c r="F387" s="46" t="e">
        <f t="shared" si="39"/>
        <v>#NUM!</v>
      </c>
      <c r="G387" s="46" t="e">
        <f t="shared" si="40"/>
        <v>#NUM!</v>
      </c>
      <c r="H387" s="46">
        <f t="shared" si="41"/>
        <v>9488898398.80015</v>
      </c>
      <c r="I387" s="46">
        <f t="shared" si="42"/>
        <v>12360976218</v>
      </c>
      <c r="J387" s="74">
        <f t="shared" si="43"/>
        <v>1</v>
      </c>
      <c r="K387" s="74"/>
      <c r="L387" s="74"/>
    </row>
    <row r="388" spans="1:12">
      <c r="A388" s="74">
        <v>361</v>
      </c>
      <c r="B388" s="45">
        <v>57011</v>
      </c>
      <c r="C388" s="46">
        <f t="shared" si="36"/>
        <v>54937672.08</v>
      </c>
      <c r="D388" s="46" t="e">
        <f t="shared" si="37"/>
        <v>#NUM!</v>
      </c>
      <c r="E388" s="46" t="e">
        <f t="shared" si="38"/>
        <v>#NUM!</v>
      </c>
      <c r="F388" s="46" t="e">
        <f t="shared" si="39"/>
        <v>#NUM!</v>
      </c>
      <c r="G388" s="46" t="e">
        <f t="shared" si="40"/>
        <v>#NUM!</v>
      </c>
      <c r="H388" s="46">
        <f t="shared" si="41"/>
        <v>9433960726.72015</v>
      </c>
      <c r="I388" s="46">
        <f t="shared" si="42"/>
        <v>12415913890.08</v>
      </c>
      <c r="J388" s="74">
        <f t="shared" si="43"/>
        <v>1</v>
      </c>
      <c r="K388" s="74"/>
      <c r="L388" s="74"/>
    </row>
    <row r="389" spans="1:12">
      <c r="A389" s="74">
        <v>362</v>
      </c>
      <c r="B389" s="45">
        <v>57040</v>
      </c>
      <c r="C389" s="46">
        <f t="shared" si="36"/>
        <v>54937672.08</v>
      </c>
      <c r="D389" s="46" t="e">
        <f t="shared" si="37"/>
        <v>#NUM!</v>
      </c>
      <c r="E389" s="46" t="e">
        <f t="shared" si="38"/>
        <v>#NUM!</v>
      </c>
      <c r="F389" s="46" t="e">
        <f t="shared" si="39"/>
        <v>#NUM!</v>
      </c>
      <c r="G389" s="46" t="e">
        <f t="shared" si="40"/>
        <v>#NUM!</v>
      </c>
      <c r="H389" s="46">
        <f t="shared" si="41"/>
        <v>9379023054.64015</v>
      </c>
      <c r="I389" s="46">
        <f t="shared" si="42"/>
        <v>12470851562.16</v>
      </c>
      <c r="J389" s="74">
        <f t="shared" si="43"/>
        <v>1</v>
      </c>
      <c r="K389" s="74"/>
      <c r="L389" s="74"/>
    </row>
    <row r="390" spans="1:12">
      <c r="A390" s="74">
        <v>363</v>
      </c>
      <c r="B390" s="45">
        <v>57071</v>
      </c>
      <c r="C390" s="46">
        <f t="shared" si="36"/>
        <v>54937672.08</v>
      </c>
      <c r="D390" s="46" t="e">
        <f t="shared" si="37"/>
        <v>#NUM!</v>
      </c>
      <c r="E390" s="46" t="e">
        <f t="shared" si="38"/>
        <v>#NUM!</v>
      </c>
      <c r="F390" s="46" t="e">
        <f t="shared" si="39"/>
        <v>#NUM!</v>
      </c>
      <c r="G390" s="46" t="e">
        <f t="shared" si="40"/>
        <v>#NUM!</v>
      </c>
      <c r="H390" s="46">
        <f t="shared" si="41"/>
        <v>9324085382.56015</v>
      </c>
      <c r="I390" s="46">
        <f t="shared" si="42"/>
        <v>12525789234.24</v>
      </c>
      <c r="J390" s="74">
        <f t="shared" si="43"/>
        <v>1</v>
      </c>
      <c r="K390" s="74"/>
      <c r="L390" s="74"/>
    </row>
    <row r="391" spans="1:12">
      <c r="A391" s="74">
        <v>364</v>
      </c>
      <c r="B391" s="45">
        <v>57101</v>
      </c>
      <c r="C391" s="46">
        <f t="shared" si="36"/>
        <v>54937672.08</v>
      </c>
      <c r="D391" s="46" t="e">
        <f t="shared" si="37"/>
        <v>#NUM!</v>
      </c>
      <c r="E391" s="46" t="e">
        <f t="shared" si="38"/>
        <v>#NUM!</v>
      </c>
      <c r="F391" s="46" t="e">
        <f t="shared" si="39"/>
        <v>#NUM!</v>
      </c>
      <c r="G391" s="46" t="e">
        <f t="shared" si="40"/>
        <v>#NUM!</v>
      </c>
      <c r="H391" s="46">
        <f t="shared" si="41"/>
        <v>9269147710.48015</v>
      </c>
      <c r="I391" s="46">
        <f t="shared" si="42"/>
        <v>12580726906.32</v>
      </c>
      <c r="J391" s="74">
        <f t="shared" si="43"/>
        <v>1</v>
      </c>
      <c r="K391" s="74"/>
      <c r="L391" s="74"/>
    </row>
    <row r="392" spans="1:12">
      <c r="A392" s="74">
        <v>365</v>
      </c>
      <c r="B392" s="45">
        <v>57132</v>
      </c>
      <c r="C392" s="46">
        <f t="shared" si="36"/>
        <v>54937672.08</v>
      </c>
      <c r="D392" s="46" t="e">
        <f t="shared" si="37"/>
        <v>#NUM!</v>
      </c>
      <c r="E392" s="46" t="e">
        <f t="shared" si="38"/>
        <v>#NUM!</v>
      </c>
      <c r="F392" s="46" t="e">
        <f t="shared" si="39"/>
        <v>#NUM!</v>
      </c>
      <c r="G392" s="46" t="e">
        <f t="shared" si="40"/>
        <v>#NUM!</v>
      </c>
      <c r="H392" s="46">
        <f t="shared" si="41"/>
        <v>9214210038.40015</v>
      </c>
      <c r="I392" s="46">
        <f t="shared" si="42"/>
        <v>12635664578.4</v>
      </c>
      <c r="J392" s="74">
        <f t="shared" si="43"/>
        <v>1</v>
      </c>
      <c r="K392" s="74"/>
      <c r="L392" s="74"/>
    </row>
    <row r="393" spans="1:12">
      <c r="A393" s="74">
        <v>366</v>
      </c>
      <c r="B393" s="45">
        <v>57162</v>
      </c>
      <c r="C393" s="46">
        <f t="shared" si="36"/>
        <v>54937672.08</v>
      </c>
      <c r="D393" s="46" t="e">
        <f t="shared" si="37"/>
        <v>#NUM!</v>
      </c>
      <c r="E393" s="46" t="e">
        <f t="shared" si="38"/>
        <v>#NUM!</v>
      </c>
      <c r="F393" s="46" t="e">
        <f t="shared" si="39"/>
        <v>#NUM!</v>
      </c>
      <c r="G393" s="46" t="e">
        <f t="shared" si="40"/>
        <v>#NUM!</v>
      </c>
      <c r="H393" s="46">
        <f t="shared" si="41"/>
        <v>9159272366.32015</v>
      </c>
      <c r="I393" s="46">
        <f t="shared" si="42"/>
        <v>12690602250.48</v>
      </c>
      <c r="J393" s="74">
        <f t="shared" si="43"/>
        <v>1</v>
      </c>
      <c r="K393" s="74"/>
      <c r="L393" s="74"/>
    </row>
    <row r="394" spans="1:12">
      <c r="A394" s="74">
        <v>367</v>
      </c>
      <c r="B394" s="45">
        <v>57193</v>
      </c>
      <c r="C394" s="46">
        <f t="shared" si="36"/>
        <v>54937672.08</v>
      </c>
      <c r="D394" s="46" t="e">
        <f t="shared" si="37"/>
        <v>#NUM!</v>
      </c>
      <c r="E394" s="46" t="e">
        <f t="shared" si="38"/>
        <v>#NUM!</v>
      </c>
      <c r="F394" s="46" t="e">
        <f t="shared" si="39"/>
        <v>#NUM!</v>
      </c>
      <c r="G394" s="46" t="e">
        <f t="shared" si="40"/>
        <v>#NUM!</v>
      </c>
      <c r="H394" s="46">
        <f t="shared" si="41"/>
        <v>9104334694.24015</v>
      </c>
      <c r="I394" s="46">
        <f t="shared" si="42"/>
        <v>12745539922.56</v>
      </c>
      <c r="J394" s="74">
        <f t="shared" si="43"/>
        <v>1</v>
      </c>
      <c r="K394" s="74"/>
      <c r="L394" s="74"/>
    </row>
    <row r="395" spans="1:12">
      <c r="A395" s="74">
        <v>368</v>
      </c>
      <c r="B395" s="45">
        <v>57224</v>
      </c>
      <c r="C395" s="46">
        <f t="shared" si="36"/>
        <v>54937672.08</v>
      </c>
      <c r="D395" s="46" t="e">
        <f t="shared" si="37"/>
        <v>#NUM!</v>
      </c>
      <c r="E395" s="46" t="e">
        <f t="shared" si="38"/>
        <v>#NUM!</v>
      </c>
      <c r="F395" s="46" t="e">
        <f t="shared" si="39"/>
        <v>#NUM!</v>
      </c>
      <c r="G395" s="46" t="e">
        <f t="shared" si="40"/>
        <v>#NUM!</v>
      </c>
      <c r="H395" s="46">
        <f t="shared" si="41"/>
        <v>9049397022.16015</v>
      </c>
      <c r="I395" s="46">
        <f t="shared" si="42"/>
        <v>12800477594.64</v>
      </c>
      <c r="J395" s="74">
        <f t="shared" si="43"/>
        <v>1</v>
      </c>
      <c r="K395" s="74"/>
      <c r="L395" s="74"/>
    </row>
    <row r="396" spans="1:12">
      <c r="A396" s="74">
        <v>369</v>
      </c>
      <c r="B396" s="45">
        <v>57254</v>
      </c>
      <c r="C396" s="46">
        <f t="shared" si="36"/>
        <v>54937672.08</v>
      </c>
      <c r="D396" s="46" t="e">
        <f t="shared" si="37"/>
        <v>#NUM!</v>
      </c>
      <c r="E396" s="46" t="e">
        <f t="shared" si="38"/>
        <v>#NUM!</v>
      </c>
      <c r="F396" s="46" t="e">
        <f t="shared" si="39"/>
        <v>#NUM!</v>
      </c>
      <c r="G396" s="46" t="e">
        <f t="shared" si="40"/>
        <v>#NUM!</v>
      </c>
      <c r="H396" s="46">
        <f t="shared" si="41"/>
        <v>8994459350.08015</v>
      </c>
      <c r="I396" s="46">
        <f t="shared" si="42"/>
        <v>12855415266.72</v>
      </c>
      <c r="J396" s="74">
        <f t="shared" si="43"/>
        <v>1</v>
      </c>
      <c r="K396" s="74"/>
      <c r="L396" s="74"/>
    </row>
    <row r="397" spans="1:12">
      <c r="A397" s="74">
        <v>370</v>
      </c>
      <c r="B397" s="45">
        <v>57285</v>
      </c>
      <c r="C397" s="46">
        <f t="shared" si="36"/>
        <v>54937672.08</v>
      </c>
      <c r="D397" s="46" t="e">
        <f t="shared" si="37"/>
        <v>#NUM!</v>
      </c>
      <c r="E397" s="46" t="e">
        <f t="shared" si="38"/>
        <v>#NUM!</v>
      </c>
      <c r="F397" s="46" t="e">
        <f t="shared" si="39"/>
        <v>#NUM!</v>
      </c>
      <c r="G397" s="46" t="e">
        <f t="shared" si="40"/>
        <v>#NUM!</v>
      </c>
      <c r="H397" s="46">
        <f t="shared" si="41"/>
        <v>8939521678.00015</v>
      </c>
      <c r="I397" s="46">
        <f t="shared" si="42"/>
        <v>12910352938.8</v>
      </c>
      <c r="J397" s="74">
        <f t="shared" si="43"/>
        <v>1</v>
      </c>
      <c r="K397" s="74"/>
      <c r="L397" s="74"/>
    </row>
    <row r="398" spans="1:12">
      <c r="A398" s="74">
        <v>371</v>
      </c>
      <c r="B398" s="45">
        <v>57315</v>
      </c>
      <c r="C398" s="46">
        <f t="shared" si="36"/>
        <v>54937672.08</v>
      </c>
      <c r="D398" s="46" t="e">
        <f t="shared" si="37"/>
        <v>#NUM!</v>
      </c>
      <c r="E398" s="46" t="e">
        <f t="shared" si="38"/>
        <v>#NUM!</v>
      </c>
      <c r="F398" s="46" t="e">
        <f t="shared" si="39"/>
        <v>#NUM!</v>
      </c>
      <c r="G398" s="46" t="e">
        <f t="shared" si="40"/>
        <v>#NUM!</v>
      </c>
      <c r="H398" s="46">
        <f t="shared" si="41"/>
        <v>8884584005.92015</v>
      </c>
      <c r="I398" s="46">
        <f t="shared" si="42"/>
        <v>12965290610.88</v>
      </c>
      <c r="J398" s="74">
        <f t="shared" si="43"/>
        <v>1</v>
      </c>
      <c r="K398" s="74"/>
      <c r="L398" s="74"/>
    </row>
    <row r="399" spans="1:12">
      <c r="A399" s="74">
        <v>372</v>
      </c>
      <c r="B399" s="45">
        <v>57346</v>
      </c>
      <c r="C399" s="46">
        <f t="shared" si="36"/>
        <v>54937672.08</v>
      </c>
      <c r="D399" s="46" t="e">
        <f t="shared" si="37"/>
        <v>#NUM!</v>
      </c>
      <c r="E399" s="46" t="e">
        <f t="shared" si="38"/>
        <v>#NUM!</v>
      </c>
      <c r="F399" s="46" t="e">
        <f t="shared" si="39"/>
        <v>#NUM!</v>
      </c>
      <c r="G399" s="46" t="e">
        <f t="shared" si="40"/>
        <v>#NUM!</v>
      </c>
      <c r="H399" s="46">
        <f t="shared" si="41"/>
        <v>8829646333.84015</v>
      </c>
      <c r="I399" s="46">
        <f t="shared" si="42"/>
        <v>13020228282.96</v>
      </c>
      <c r="J399" s="74">
        <f t="shared" si="43"/>
        <v>1</v>
      </c>
      <c r="K399" s="74"/>
      <c r="L399" s="74"/>
    </row>
    <row r="400" spans="1:12">
      <c r="A400" s="74">
        <v>373</v>
      </c>
      <c r="B400" s="45">
        <v>57377</v>
      </c>
      <c r="C400" s="46">
        <f t="shared" si="36"/>
        <v>54937672.08</v>
      </c>
      <c r="D400" s="46" t="e">
        <f t="shared" si="37"/>
        <v>#NUM!</v>
      </c>
      <c r="E400" s="46" t="e">
        <f t="shared" si="38"/>
        <v>#NUM!</v>
      </c>
      <c r="F400" s="46" t="e">
        <f t="shared" si="39"/>
        <v>#NUM!</v>
      </c>
      <c r="G400" s="46" t="e">
        <f t="shared" si="40"/>
        <v>#NUM!</v>
      </c>
      <c r="H400" s="46">
        <f t="shared" si="41"/>
        <v>8774708661.76015</v>
      </c>
      <c r="I400" s="46">
        <f t="shared" si="42"/>
        <v>13075165955.04</v>
      </c>
      <c r="J400" s="74">
        <f t="shared" si="43"/>
        <v>1</v>
      </c>
      <c r="K400" s="74"/>
      <c r="L400" s="74"/>
    </row>
    <row r="401" spans="1:12">
      <c r="A401" s="74">
        <v>374</v>
      </c>
      <c r="B401" s="45">
        <v>57405</v>
      </c>
      <c r="C401" s="46">
        <f t="shared" si="36"/>
        <v>54937672.08</v>
      </c>
      <c r="D401" s="46" t="e">
        <f t="shared" si="37"/>
        <v>#NUM!</v>
      </c>
      <c r="E401" s="46" t="e">
        <f t="shared" si="38"/>
        <v>#NUM!</v>
      </c>
      <c r="F401" s="46" t="e">
        <f t="shared" si="39"/>
        <v>#NUM!</v>
      </c>
      <c r="G401" s="46" t="e">
        <f t="shared" si="40"/>
        <v>#NUM!</v>
      </c>
      <c r="H401" s="46">
        <f t="shared" si="41"/>
        <v>8719770989.68015</v>
      </c>
      <c r="I401" s="46">
        <f t="shared" si="42"/>
        <v>13130103627.12</v>
      </c>
      <c r="J401" s="74">
        <f t="shared" si="43"/>
        <v>1</v>
      </c>
      <c r="K401" s="74"/>
      <c r="L401" s="74"/>
    </row>
    <row r="402" spans="1:12">
      <c r="A402" s="74">
        <v>375</v>
      </c>
      <c r="B402" s="45">
        <v>57436</v>
      </c>
      <c r="C402" s="46">
        <f t="shared" si="36"/>
        <v>54937672.08</v>
      </c>
      <c r="D402" s="46" t="e">
        <f t="shared" si="37"/>
        <v>#NUM!</v>
      </c>
      <c r="E402" s="46" t="e">
        <f t="shared" si="38"/>
        <v>#NUM!</v>
      </c>
      <c r="F402" s="46" t="e">
        <f t="shared" si="39"/>
        <v>#NUM!</v>
      </c>
      <c r="G402" s="46" t="e">
        <f t="shared" si="40"/>
        <v>#NUM!</v>
      </c>
      <c r="H402" s="46">
        <f t="shared" si="41"/>
        <v>8664833317.60015</v>
      </c>
      <c r="I402" s="46">
        <f t="shared" si="42"/>
        <v>13185041299.2</v>
      </c>
      <c r="J402" s="74">
        <f t="shared" si="43"/>
        <v>1</v>
      </c>
      <c r="K402" s="74"/>
      <c r="L402" s="74"/>
    </row>
    <row r="403" spans="1:12">
      <c r="A403" s="74">
        <v>376</v>
      </c>
      <c r="B403" s="45">
        <v>57466</v>
      </c>
      <c r="C403" s="46">
        <f t="shared" si="36"/>
        <v>54937672.08</v>
      </c>
      <c r="D403" s="46" t="e">
        <f t="shared" si="37"/>
        <v>#NUM!</v>
      </c>
      <c r="E403" s="46" t="e">
        <f t="shared" si="38"/>
        <v>#NUM!</v>
      </c>
      <c r="F403" s="46" t="e">
        <f t="shared" si="39"/>
        <v>#NUM!</v>
      </c>
      <c r="G403" s="46" t="e">
        <f t="shared" si="40"/>
        <v>#NUM!</v>
      </c>
      <c r="H403" s="46">
        <f t="shared" si="41"/>
        <v>8609895645.52015</v>
      </c>
      <c r="I403" s="46">
        <f t="shared" si="42"/>
        <v>13239978971.28</v>
      </c>
      <c r="J403" s="74">
        <f t="shared" si="43"/>
        <v>1</v>
      </c>
      <c r="K403" s="74"/>
      <c r="L403" s="74"/>
    </row>
    <row r="404" spans="1:12">
      <c r="A404" s="74">
        <v>377</v>
      </c>
      <c r="B404" s="45">
        <v>57497</v>
      </c>
      <c r="C404" s="46">
        <f t="shared" si="36"/>
        <v>54937672.08</v>
      </c>
      <c r="D404" s="46" t="e">
        <f t="shared" si="37"/>
        <v>#NUM!</v>
      </c>
      <c r="E404" s="46" t="e">
        <f t="shared" si="38"/>
        <v>#NUM!</v>
      </c>
      <c r="F404" s="46" t="e">
        <f t="shared" si="39"/>
        <v>#NUM!</v>
      </c>
      <c r="G404" s="46" t="e">
        <f t="shared" si="40"/>
        <v>#NUM!</v>
      </c>
      <c r="H404" s="46">
        <f t="shared" si="41"/>
        <v>8554957973.44015</v>
      </c>
      <c r="I404" s="46">
        <f t="shared" si="42"/>
        <v>13294916643.36</v>
      </c>
      <c r="J404" s="74">
        <f t="shared" si="43"/>
        <v>1</v>
      </c>
      <c r="K404" s="74"/>
      <c r="L404" s="74"/>
    </row>
    <row r="405" spans="1:12">
      <c r="A405" s="74">
        <v>378</v>
      </c>
      <c r="B405" s="45">
        <v>57527</v>
      </c>
      <c r="C405" s="46">
        <f t="shared" si="36"/>
        <v>54937672.08</v>
      </c>
      <c r="D405" s="46" t="e">
        <f t="shared" si="37"/>
        <v>#NUM!</v>
      </c>
      <c r="E405" s="46" t="e">
        <f t="shared" si="38"/>
        <v>#NUM!</v>
      </c>
      <c r="F405" s="46" t="e">
        <f t="shared" si="39"/>
        <v>#NUM!</v>
      </c>
      <c r="G405" s="46" t="e">
        <f t="shared" si="40"/>
        <v>#NUM!</v>
      </c>
      <c r="H405" s="46">
        <f t="shared" si="41"/>
        <v>8500020301.36015</v>
      </c>
      <c r="I405" s="46">
        <f t="shared" si="42"/>
        <v>13349854315.44</v>
      </c>
      <c r="J405" s="74">
        <f t="shared" si="43"/>
        <v>1</v>
      </c>
      <c r="K405" s="74"/>
      <c r="L405" s="74"/>
    </row>
    <row r="406" spans="1:12">
      <c r="A406" s="74">
        <v>379</v>
      </c>
      <c r="B406" s="45">
        <v>57558</v>
      </c>
      <c r="C406" s="46">
        <f t="shared" si="36"/>
        <v>54937672.08</v>
      </c>
      <c r="D406" s="46" t="e">
        <f t="shared" si="37"/>
        <v>#NUM!</v>
      </c>
      <c r="E406" s="46" t="e">
        <f t="shared" si="38"/>
        <v>#NUM!</v>
      </c>
      <c r="F406" s="46" t="e">
        <f t="shared" si="39"/>
        <v>#NUM!</v>
      </c>
      <c r="G406" s="46" t="e">
        <f t="shared" si="40"/>
        <v>#NUM!</v>
      </c>
      <c r="H406" s="46">
        <f t="shared" si="41"/>
        <v>8445082629.28015</v>
      </c>
      <c r="I406" s="46">
        <f t="shared" si="42"/>
        <v>13404791987.52</v>
      </c>
      <c r="J406" s="74">
        <f t="shared" si="43"/>
        <v>1</v>
      </c>
      <c r="K406" s="74"/>
      <c r="L406" s="74"/>
    </row>
    <row r="407" spans="1:12">
      <c r="A407" s="74">
        <v>380</v>
      </c>
      <c r="B407" s="45">
        <v>57589</v>
      </c>
      <c r="C407" s="46">
        <f t="shared" si="36"/>
        <v>54937672.08</v>
      </c>
      <c r="D407" s="46" t="e">
        <f t="shared" si="37"/>
        <v>#NUM!</v>
      </c>
      <c r="E407" s="46" t="e">
        <f t="shared" si="38"/>
        <v>#NUM!</v>
      </c>
      <c r="F407" s="46" t="e">
        <f t="shared" si="39"/>
        <v>#NUM!</v>
      </c>
      <c r="G407" s="46" t="e">
        <f t="shared" si="40"/>
        <v>#NUM!</v>
      </c>
      <c r="H407" s="46">
        <f t="shared" si="41"/>
        <v>8390144957.20015</v>
      </c>
      <c r="I407" s="46">
        <f t="shared" si="42"/>
        <v>13459729659.6</v>
      </c>
      <c r="J407" s="74">
        <f t="shared" si="43"/>
        <v>1</v>
      </c>
      <c r="K407" s="74"/>
      <c r="L407" s="74"/>
    </row>
    <row r="408" spans="1:12">
      <c r="A408" s="74">
        <v>381</v>
      </c>
      <c r="B408" s="45">
        <v>57619</v>
      </c>
      <c r="C408" s="46">
        <f t="shared" si="36"/>
        <v>54937672.08</v>
      </c>
      <c r="D408" s="46" t="e">
        <f t="shared" si="37"/>
        <v>#NUM!</v>
      </c>
      <c r="E408" s="46" t="e">
        <f t="shared" si="38"/>
        <v>#NUM!</v>
      </c>
      <c r="F408" s="46" t="e">
        <f t="shared" si="39"/>
        <v>#NUM!</v>
      </c>
      <c r="G408" s="46" t="e">
        <f t="shared" si="40"/>
        <v>#NUM!</v>
      </c>
      <c r="H408" s="46">
        <f t="shared" si="41"/>
        <v>8335207285.12015</v>
      </c>
      <c r="I408" s="46">
        <f t="shared" si="42"/>
        <v>13514667331.68</v>
      </c>
      <c r="J408" s="74">
        <f t="shared" si="43"/>
        <v>1</v>
      </c>
      <c r="K408" s="74"/>
      <c r="L408" s="74"/>
    </row>
    <row r="409" spans="1:12">
      <c r="A409" s="74">
        <v>382</v>
      </c>
      <c r="B409" s="45">
        <v>57650</v>
      </c>
      <c r="C409" s="46">
        <f t="shared" si="36"/>
        <v>54937672.08</v>
      </c>
      <c r="D409" s="46" t="e">
        <f t="shared" si="37"/>
        <v>#NUM!</v>
      </c>
      <c r="E409" s="46" t="e">
        <f t="shared" si="38"/>
        <v>#NUM!</v>
      </c>
      <c r="F409" s="46" t="e">
        <f t="shared" si="39"/>
        <v>#NUM!</v>
      </c>
      <c r="G409" s="46" t="e">
        <f t="shared" si="40"/>
        <v>#NUM!</v>
      </c>
      <c r="H409" s="46">
        <f t="shared" si="41"/>
        <v>8280269613.04015</v>
      </c>
      <c r="I409" s="46">
        <f t="shared" si="42"/>
        <v>13569605003.76</v>
      </c>
      <c r="J409" s="74">
        <f t="shared" si="43"/>
        <v>1</v>
      </c>
      <c r="K409" s="74"/>
      <c r="L409" s="74"/>
    </row>
    <row r="410" spans="1:12">
      <c r="A410" s="74">
        <v>383</v>
      </c>
      <c r="B410" s="45">
        <v>57680</v>
      </c>
      <c r="C410" s="46">
        <f t="shared" si="36"/>
        <v>54937672.08</v>
      </c>
      <c r="D410" s="46" t="e">
        <f t="shared" si="37"/>
        <v>#NUM!</v>
      </c>
      <c r="E410" s="46" t="e">
        <f t="shared" si="38"/>
        <v>#NUM!</v>
      </c>
      <c r="F410" s="46" t="e">
        <f t="shared" si="39"/>
        <v>#NUM!</v>
      </c>
      <c r="G410" s="46" t="e">
        <f t="shared" si="40"/>
        <v>#NUM!</v>
      </c>
      <c r="H410" s="46">
        <f t="shared" si="41"/>
        <v>8225331940.96015</v>
      </c>
      <c r="I410" s="46">
        <f t="shared" si="42"/>
        <v>13624542675.84</v>
      </c>
      <c r="J410" s="74">
        <f t="shared" si="43"/>
        <v>1</v>
      </c>
      <c r="K410" s="74"/>
      <c r="L410" s="74"/>
    </row>
    <row r="411" spans="1:12">
      <c r="A411" s="74">
        <v>384</v>
      </c>
      <c r="B411" s="45">
        <v>57711</v>
      </c>
      <c r="C411" s="46">
        <f t="shared" si="36"/>
        <v>54937672.08</v>
      </c>
      <c r="D411" s="46" t="e">
        <f t="shared" si="37"/>
        <v>#NUM!</v>
      </c>
      <c r="E411" s="46" t="e">
        <f t="shared" si="38"/>
        <v>#NUM!</v>
      </c>
      <c r="F411" s="46" t="e">
        <f t="shared" si="39"/>
        <v>#NUM!</v>
      </c>
      <c r="G411" s="46" t="e">
        <f t="shared" si="40"/>
        <v>#NUM!</v>
      </c>
      <c r="H411" s="46">
        <f t="shared" si="41"/>
        <v>8170394268.88015</v>
      </c>
      <c r="I411" s="46">
        <f t="shared" si="42"/>
        <v>13679480347.92</v>
      </c>
      <c r="J411" s="74">
        <f t="shared" si="43"/>
        <v>1</v>
      </c>
      <c r="K411" s="74"/>
      <c r="L411" s="74"/>
    </row>
    <row r="412" spans="1:12">
      <c r="A412" s="74">
        <v>385</v>
      </c>
      <c r="B412" s="45">
        <v>57742</v>
      </c>
      <c r="C412" s="46">
        <f t="shared" si="36"/>
        <v>54937672.08</v>
      </c>
      <c r="D412" s="46" t="e">
        <f t="shared" si="37"/>
        <v>#NUM!</v>
      </c>
      <c r="E412" s="46" t="e">
        <f t="shared" si="38"/>
        <v>#NUM!</v>
      </c>
      <c r="F412" s="46" t="e">
        <f t="shared" si="39"/>
        <v>#NUM!</v>
      </c>
      <c r="G412" s="46" t="e">
        <f t="shared" si="40"/>
        <v>#NUM!</v>
      </c>
      <c r="H412" s="46">
        <f t="shared" si="41"/>
        <v>8115456596.80015</v>
      </c>
      <c r="I412" s="46">
        <f t="shared" si="42"/>
        <v>13734418020</v>
      </c>
      <c r="J412" s="74">
        <f t="shared" si="43"/>
        <v>1</v>
      </c>
      <c r="K412" s="74"/>
      <c r="L412" s="74"/>
    </row>
    <row r="413" spans="1:12">
      <c r="A413" s="74">
        <v>386</v>
      </c>
      <c r="B413" s="45">
        <v>57770</v>
      </c>
      <c r="C413" s="46">
        <f t="shared" si="36"/>
        <v>54937672.08</v>
      </c>
      <c r="D413" s="46" t="e">
        <f t="shared" si="37"/>
        <v>#NUM!</v>
      </c>
      <c r="E413" s="46" t="e">
        <f t="shared" si="38"/>
        <v>#NUM!</v>
      </c>
      <c r="F413" s="46" t="e">
        <f t="shared" si="39"/>
        <v>#NUM!</v>
      </c>
      <c r="G413" s="46" t="e">
        <f t="shared" si="40"/>
        <v>#NUM!</v>
      </c>
      <c r="H413" s="46">
        <f t="shared" si="41"/>
        <v>8060518924.72015</v>
      </c>
      <c r="I413" s="46">
        <f t="shared" si="42"/>
        <v>13789355692.08</v>
      </c>
      <c r="J413" s="74">
        <f t="shared" si="43"/>
        <v>1</v>
      </c>
      <c r="K413" s="74"/>
      <c r="L413" s="74"/>
    </row>
    <row r="414" spans="1:12">
      <c r="A414" s="74">
        <v>387</v>
      </c>
      <c r="B414" s="45">
        <v>57801</v>
      </c>
      <c r="C414" s="46">
        <f t="shared" si="36"/>
        <v>54937672.08</v>
      </c>
      <c r="D414" s="46" t="e">
        <f t="shared" si="37"/>
        <v>#NUM!</v>
      </c>
      <c r="E414" s="46" t="e">
        <f t="shared" si="38"/>
        <v>#NUM!</v>
      </c>
      <c r="F414" s="46" t="e">
        <f t="shared" si="39"/>
        <v>#NUM!</v>
      </c>
      <c r="G414" s="46" t="e">
        <f t="shared" si="40"/>
        <v>#NUM!</v>
      </c>
      <c r="H414" s="46">
        <f t="shared" si="41"/>
        <v>8005581252.64015</v>
      </c>
      <c r="I414" s="46">
        <f t="shared" si="42"/>
        <v>13844293364.16</v>
      </c>
      <c r="J414" s="74">
        <f t="shared" si="43"/>
        <v>1</v>
      </c>
      <c r="K414" s="74"/>
      <c r="L414" s="74"/>
    </row>
    <row r="415" spans="1:12">
      <c r="A415" s="74">
        <v>388</v>
      </c>
      <c r="B415" s="45">
        <v>57831</v>
      </c>
      <c r="C415" s="46">
        <f t="shared" si="36"/>
        <v>54937672.08</v>
      </c>
      <c r="D415" s="46" t="e">
        <f t="shared" si="37"/>
        <v>#NUM!</v>
      </c>
      <c r="E415" s="46" t="e">
        <f t="shared" si="38"/>
        <v>#NUM!</v>
      </c>
      <c r="F415" s="46" t="e">
        <f t="shared" si="39"/>
        <v>#NUM!</v>
      </c>
      <c r="G415" s="46" t="e">
        <f t="shared" si="40"/>
        <v>#NUM!</v>
      </c>
      <c r="H415" s="46">
        <f t="shared" si="41"/>
        <v>7950643580.56015</v>
      </c>
      <c r="I415" s="46">
        <f t="shared" si="42"/>
        <v>13899231036.24</v>
      </c>
      <c r="J415" s="74">
        <f t="shared" si="43"/>
        <v>1</v>
      </c>
      <c r="K415" s="74"/>
      <c r="L415" s="74"/>
    </row>
    <row r="416" spans="1:12">
      <c r="A416" s="74">
        <v>389</v>
      </c>
      <c r="B416" s="45">
        <v>57862</v>
      </c>
      <c r="C416" s="46">
        <f t="shared" si="36"/>
        <v>54937672.08</v>
      </c>
      <c r="D416" s="46" t="e">
        <f t="shared" si="37"/>
        <v>#NUM!</v>
      </c>
      <c r="E416" s="46" t="e">
        <f t="shared" si="38"/>
        <v>#NUM!</v>
      </c>
      <c r="F416" s="46" t="e">
        <f t="shared" si="39"/>
        <v>#NUM!</v>
      </c>
      <c r="G416" s="46" t="e">
        <f t="shared" si="40"/>
        <v>#NUM!</v>
      </c>
      <c r="H416" s="46">
        <f t="shared" si="41"/>
        <v>7895705908.48015</v>
      </c>
      <c r="I416" s="46">
        <f t="shared" si="42"/>
        <v>13954168708.32</v>
      </c>
      <c r="J416" s="74">
        <f t="shared" si="43"/>
        <v>1</v>
      </c>
      <c r="K416" s="74"/>
      <c r="L416" s="74"/>
    </row>
    <row r="417" spans="1:12">
      <c r="A417" s="74">
        <v>390</v>
      </c>
      <c r="B417" s="45">
        <v>57892</v>
      </c>
      <c r="C417" s="46">
        <f t="shared" si="36"/>
        <v>54937672.08</v>
      </c>
      <c r="D417" s="46" t="e">
        <f t="shared" si="37"/>
        <v>#NUM!</v>
      </c>
      <c r="E417" s="46" t="e">
        <f t="shared" si="38"/>
        <v>#NUM!</v>
      </c>
      <c r="F417" s="46" t="e">
        <f t="shared" si="39"/>
        <v>#NUM!</v>
      </c>
      <c r="G417" s="46" t="e">
        <f t="shared" si="40"/>
        <v>#NUM!</v>
      </c>
      <c r="H417" s="46">
        <f t="shared" si="41"/>
        <v>7840768236.40015</v>
      </c>
      <c r="I417" s="46">
        <f t="shared" si="42"/>
        <v>14009106380.4</v>
      </c>
      <c r="J417" s="74">
        <f t="shared" si="43"/>
        <v>1</v>
      </c>
      <c r="K417" s="74"/>
      <c r="L417" s="74"/>
    </row>
    <row r="418" spans="1:12">
      <c r="A418" s="74">
        <v>391</v>
      </c>
      <c r="B418" s="45">
        <v>57923</v>
      </c>
      <c r="C418" s="46">
        <f t="shared" si="36"/>
        <v>54937672.08</v>
      </c>
      <c r="D418" s="46" t="e">
        <f t="shared" si="37"/>
        <v>#NUM!</v>
      </c>
      <c r="E418" s="46" t="e">
        <f t="shared" si="38"/>
        <v>#NUM!</v>
      </c>
      <c r="F418" s="46" t="e">
        <f t="shared" si="39"/>
        <v>#NUM!</v>
      </c>
      <c r="G418" s="46" t="e">
        <f t="shared" si="40"/>
        <v>#NUM!</v>
      </c>
      <c r="H418" s="46">
        <f t="shared" si="41"/>
        <v>7785830564.32015</v>
      </c>
      <c r="I418" s="46">
        <f t="shared" si="42"/>
        <v>14064044052.48</v>
      </c>
      <c r="J418" s="74">
        <f t="shared" si="43"/>
        <v>1</v>
      </c>
      <c r="K418" s="74"/>
      <c r="L418" s="74"/>
    </row>
    <row r="419" spans="1:12">
      <c r="A419" s="74">
        <v>392</v>
      </c>
      <c r="B419" s="45">
        <v>57954</v>
      </c>
      <c r="C419" s="46">
        <f t="shared" ref="C419:C482" si="44">ROUND(-PMT($B$5/$B$11,$B$10,$B$4,0),2)</f>
        <v>54937672.08</v>
      </c>
      <c r="D419" s="46" t="e">
        <f t="shared" ref="D419:D482" si="45">ROUND(-PPMT($B$5/$B$11,A419,$B$10,$B$4,0),2)</f>
        <v>#NUM!</v>
      </c>
      <c r="E419" s="46" t="e">
        <f t="shared" ref="E419:E482" si="46">C419-D419</f>
        <v>#NUM!</v>
      </c>
      <c r="F419" s="46" t="e">
        <f t="shared" ref="F419:F482" si="47">D419+F418</f>
        <v>#NUM!</v>
      </c>
      <c r="G419" s="46" t="e">
        <f t="shared" ref="G419:G482" si="48">$B$4-F419</f>
        <v>#NUM!</v>
      </c>
      <c r="H419" s="46">
        <f t="shared" ref="H419:H482" si="49">SUM($C$28:$C$527)-I419</f>
        <v>7730892892.24015</v>
      </c>
      <c r="I419" s="46">
        <f t="shared" ref="I419:I482" si="50">C419+I418</f>
        <v>14118981724.56</v>
      </c>
      <c r="J419" s="74">
        <f t="shared" ref="J419:J482" si="51">DATEDIF(B418,B419,"M")</f>
        <v>1</v>
      </c>
      <c r="K419" s="74"/>
      <c r="L419" s="74"/>
    </row>
    <row r="420" spans="1:12">
      <c r="A420" s="74">
        <v>393</v>
      </c>
      <c r="B420" s="45">
        <v>57984</v>
      </c>
      <c r="C420" s="46">
        <f t="shared" si="44"/>
        <v>54937672.08</v>
      </c>
      <c r="D420" s="46" t="e">
        <f t="shared" si="45"/>
        <v>#NUM!</v>
      </c>
      <c r="E420" s="46" t="e">
        <f t="shared" si="46"/>
        <v>#NUM!</v>
      </c>
      <c r="F420" s="46" t="e">
        <f t="shared" si="47"/>
        <v>#NUM!</v>
      </c>
      <c r="G420" s="46" t="e">
        <f t="shared" si="48"/>
        <v>#NUM!</v>
      </c>
      <c r="H420" s="46">
        <f t="shared" si="49"/>
        <v>7675955220.16015</v>
      </c>
      <c r="I420" s="46">
        <f t="shared" si="50"/>
        <v>14173919396.64</v>
      </c>
      <c r="J420" s="74">
        <f t="shared" si="51"/>
        <v>1</v>
      </c>
      <c r="K420" s="74"/>
      <c r="L420" s="74"/>
    </row>
    <row r="421" spans="1:12">
      <c r="A421" s="74">
        <v>394</v>
      </c>
      <c r="B421" s="45">
        <v>58015</v>
      </c>
      <c r="C421" s="46">
        <f t="shared" si="44"/>
        <v>54937672.08</v>
      </c>
      <c r="D421" s="46" t="e">
        <f t="shared" si="45"/>
        <v>#NUM!</v>
      </c>
      <c r="E421" s="46" t="e">
        <f t="shared" si="46"/>
        <v>#NUM!</v>
      </c>
      <c r="F421" s="46" t="e">
        <f t="shared" si="47"/>
        <v>#NUM!</v>
      </c>
      <c r="G421" s="46" t="e">
        <f t="shared" si="48"/>
        <v>#NUM!</v>
      </c>
      <c r="H421" s="46">
        <f t="shared" si="49"/>
        <v>7621017548.08015</v>
      </c>
      <c r="I421" s="46">
        <f t="shared" si="50"/>
        <v>14228857068.72</v>
      </c>
      <c r="J421" s="74">
        <f t="shared" si="51"/>
        <v>1</v>
      </c>
      <c r="K421" s="74"/>
      <c r="L421" s="74"/>
    </row>
    <row r="422" spans="1:12">
      <c r="A422" s="74">
        <v>395</v>
      </c>
      <c r="B422" s="45">
        <v>58045</v>
      </c>
      <c r="C422" s="46">
        <f t="shared" si="44"/>
        <v>54937672.08</v>
      </c>
      <c r="D422" s="46" t="e">
        <f t="shared" si="45"/>
        <v>#NUM!</v>
      </c>
      <c r="E422" s="46" t="e">
        <f t="shared" si="46"/>
        <v>#NUM!</v>
      </c>
      <c r="F422" s="46" t="e">
        <f t="shared" si="47"/>
        <v>#NUM!</v>
      </c>
      <c r="G422" s="46" t="e">
        <f t="shared" si="48"/>
        <v>#NUM!</v>
      </c>
      <c r="H422" s="46">
        <f t="shared" si="49"/>
        <v>7566079876.00015</v>
      </c>
      <c r="I422" s="46">
        <f t="shared" si="50"/>
        <v>14283794740.8</v>
      </c>
      <c r="J422" s="74">
        <f t="shared" si="51"/>
        <v>1</v>
      </c>
      <c r="K422" s="74"/>
      <c r="L422" s="74"/>
    </row>
    <row r="423" spans="1:12">
      <c r="A423" s="74">
        <v>396</v>
      </c>
      <c r="B423" s="45">
        <v>58076</v>
      </c>
      <c r="C423" s="46">
        <f t="shared" si="44"/>
        <v>54937672.08</v>
      </c>
      <c r="D423" s="46" t="e">
        <f t="shared" si="45"/>
        <v>#NUM!</v>
      </c>
      <c r="E423" s="46" t="e">
        <f t="shared" si="46"/>
        <v>#NUM!</v>
      </c>
      <c r="F423" s="46" t="e">
        <f t="shared" si="47"/>
        <v>#NUM!</v>
      </c>
      <c r="G423" s="46" t="e">
        <f t="shared" si="48"/>
        <v>#NUM!</v>
      </c>
      <c r="H423" s="46">
        <f t="shared" si="49"/>
        <v>7511142203.92015</v>
      </c>
      <c r="I423" s="46">
        <f t="shared" si="50"/>
        <v>14338732412.88</v>
      </c>
      <c r="J423" s="74">
        <f t="shared" si="51"/>
        <v>1</v>
      </c>
      <c r="K423" s="74"/>
      <c r="L423" s="74"/>
    </row>
    <row r="424" spans="1:12">
      <c r="A424" s="74">
        <v>397</v>
      </c>
      <c r="B424" s="45">
        <v>58107</v>
      </c>
      <c r="C424" s="46">
        <f t="shared" si="44"/>
        <v>54937672.08</v>
      </c>
      <c r="D424" s="46" t="e">
        <f t="shared" si="45"/>
        <v>#NUM!</v>
      </c>
      <c r="E424" s="46" t="e">
        <f t="shared" si="46"/>
        <v>#NUM!</v>
      </c>
      <c r="F424" s="46" t="e">
        <f t="shared" si="47"/>
        <v>#NUM!</v>
      </c>
      <c r="G424" s="46" t="e">
        <f t="shared" si="48"/>
        <v>#NUM!</v>
      </c>
      <c r="H424" s="46">
        <f t="shared" si="49"/>
        <v>7456204531.84015</v>
      </c>
      <c r="I424" s="46">
        <f t="shared" si="50"/>
        <v>14393670084.96</v>
      </c>
      <c r="J424" s="74">
        <f t="shared" si="51"/>
        <v>1</v>
      </c>
      <c r="K424" s="74"/>
      <c r="L424" s="74"/>
    </row>
    <row r="425" spans="1:12">
      <c r="A425" s="74">
        <v>398</v>
      </c>
      <c r="B425" s="45">
        <v>58135</v>
      </c>
      <c r="C425" s="46">
        <f t="shared" si="44"/>
        <v>54937672.08</v>
      </c>
      <c r="D425" s="46" t="e">
        <f t="shared" si="45"/>
        <v>#NUM!</v>
      </c>
      <c r="E425" s="46" t="e">
        <f t="shared" si="46"/>
        <v>#NUM!</v>
      </c>
      <c r="F425" s="46" t="e">
        <f t="shared" si="47"/>
        <v>#NUM!</v>
      </c>
      <c r="G425" s="46" t="e">
        <f t="shared" si="48"/>
        <v>#NUM!</v>
      </c>
      <c r="H425" s="46">
        <f t="shared" si="49"/>
        <v>7401266859.76015</v>
      </c>
      <c r="I425" s="46">
        <f t="shared" si="50"/>
        <v>14448607757.04</v>
      </c>
      <c r="J425" s="74">
        <f t="shared" si="51"/>
        <v>1</v>
      </c>
      <c r="K425" s="74"/>
      <c r="L425" s="74"/>
    </row>
    <row r="426" spans="1:12">
      <c r="A426" s="74">
        <v>399</v>
      </c>
      <c r="B426" s="45">
        <v>58166</v>
      </c>
      <c r="C426" s="46">
        <f t="shared" si="44"/>
        <v>54937672.08</v>
      </c>
      <c r="D426" s="46" t="e">
        <f t="shared" si="45"/>
        <v>#NUM!</v>
      </c>
      <c r="E426" s="46" t="e">
        <f t="shared" si="46"/>
        <v>#NUM!</v>
      </c>
      <c r="F426" s="46" t="e">
        <f t="shared" si="47"/>
        <v>#NUM!</v>
      </c>
      <c r="G426" s="46" t="e">
        <f t="shared" si="48"/>
        <v>#NUM!</v>
      </c>
      <c r="H426" s="46">
        <f t="shared" si="49"/>
        <v>7346329187.68015</v>
      </c>
      <c r="I426" s="46">
        <f t="shared" si="50"/>
        <v>14503545429.12</v>
      </c>
      <c r="J426" s="74">
        <f t="shared" si="51"/>
        <v>1</v>
      </c>
      <c r="K426" s="74"/>
      <c r="L426" s="74"/>
    </row>
    <row r="427" spans="1:12">
      <c r="A427" s="74">
        <v>400</v>
      </c>
      <c r="B427" s="45">
        <v>58196</v>
      </c>
      <c r="C427" s="46">
        <f t="shared" si="44"/>
        <v>54937672.08</v>
      </c>
      <c r="D427" s="46" t="e">
        <f t="shared" si="45"/>
        <v>#NUM!</v>
      </c>
      <c r="E427" s="46" t="e">
        <f t="shared" si="46"/>
        <v>#NUM!</v>
      </c>
      <c r="F427" s="46" t="e">
        <f t="shared" si="47"/>
        <v>#NUM!</v>
      </c>
      <c r="G427" s="46" t="e">
        <f t="shared" si="48"/>
        <v>#NUM!</v>
      </c>
      <c r="H427" s="46">
        <f t="shared" si="49"/>
        <v>7291391515.60015</v>
      </c>
      <c r="I427" s="46">
        <f t="shared" si="50"/>
        <v>14558483101.2</v>
      </c>
      <c r="J427" s="74">
        <f t="shared" si="51"/>
        <v>1</v>
      </c>
      <c r="K427" s="74"/>
      <c r="L427" s="74"/>
    </row>
    <row r="428" spans="1:12">
      <c r="A428" s="74">
        <v>401</v>
      </c>
      <c r="B428" s="45">
        <v>58227</v>
      </c>
      <c r="C428" s="46">
        <f t="shared" si="44"/>
        <v>54937672.08</v>
      </c>
      <c r="D428" s="46" t="e">
        <f t="shared" si="45"/>
        <v>#NUM!</v>
      </c>
      <c r="E428" s="46" t="e">
        <f t="shared" si="46"/>
        <v>#NUM!</v>
      </c>
      <c r="F428" s="46" t="e">
        <f t="shared" si="47"/>
        <v>#NUM!</v>
      </c>
      <c r="G428" s="46" t="e">
        <f t="shared" si="48"/>
        <v>#NUM!</v>
      </c>
      <c r="H428" s="46">
        <f t="shared" si="49"/>
        <v>7236453843.52015</v>
      </c>
      <c r="I428" s="46">
        <f t="shared" si="50"/>
        <v>14613420773.28</v>
      </c>
      <c r="J428" s="74">
        <f t="shared" si="51"/>
        <v>1</v>
      </c>
      <c r="K428" s="74"/>
      <c r="L428" s="74"/>
    </row>
    <row r="429" spans="1:12">
      <c r="A429" s="74">
        <v>402</v>
      </c>
      <c r="B429" s="45">
        <v>58257</v>
      </c>
      <c r="C429" s="46">
        <f t="shared" si="44"/>
        <v>54937672.08</v>
      </c>
      <c r="D429" s="46" t="e">
        <f t="shared" si="45"/>
        <v>#NUM!</v>
      </c>
      <c r="E429" s="46" t="e">
        <f t="shared" si="46"/>
        <v>#NUM!</v>
      </c>
      <c r="F429" s="46" t="e">
        <f t="shared" si="47"/>
        <v>#NUM!</v>
      </c>
      <c r="G429" s="46" t="e">
        <f t="shared" si="48"/>
        <v>#NUM!</v>
      </c>
      <c r="H429" s="46">
        <f t="shared" si="49"/>
        <v>7181516171.44016</v>
      </c>
      <c r="I429" s="46">
        <f t="shared" si="50"/>
        <v>14668358445.36</v>
      </c>
      <c r="J429" s="74">
        <f t="shared" si="51"/>
        <v>1</v>
      </c>
      <c r="K429" s="74"/>
      <c r="L429" s="74"/>
    </row>
    <row r="430" spans="1:12">
      <c r="A430" s="74">
        <v>403</v>
      </c>
      <c r="B430" s="45">
        <v>58288</v>
      </c>
      <c r="C430" s="46">
        <f t="shared" si="44"/>
        <v>54937672.08</v>
      </c>
      <c r="D430" s="46" t="e">
        <f t="shared" si="45"/>
        <v>#NUM!</v>
      </c>
      <c r="E430" s="46" t="e">
        <f t="shared" si="46"/>
        <v>#NUM!</v>
      </c>
      <c r="F430" s="46" t="e">
        <f t="shared" si="47"/>
        <v>#NUM!</v>
      </c>
      <c r="G430" s="46" t="e">
        <f t="shared" si="48"/>
        <v>#NUM!</v>
      </c>
      <c r="H430" s="46">
        <f t="shared" si="49"/>
        <v>7126578499.36016</v>
      </c>
      <c r="I430" s="46">
        <f t="shared" si="50"/>
        <v>14723296117.44</v>
      </c>
      <c r="J430" s="74">
        <f t="shared" si="51"/>
        <v>1</v>
      </c>
      <c r="K430" s="74"/>
      <c r="L430" s="74"/>
    </row>
    <row r="431" spans="1:12">
      <c r="A431" s="74">
        <v>404</v>
      </c>
      <c r="B431" s="45">
        <v>58319</v>
      </c>
      <c r="C431" s="46">
        <f t="shared" si="44"/>
        <v>54937672.08</v>
      </c>
      <c r="D431" s="46" t="e">
        <f t="shared" si="45"/>
        <v>#NUM!</v>
      </c>
      <c r="E431" s="46" t="e">
        <f t="shared" si="46"/>
        <v>#NUM!</v>
      </c>
      <c r="F431" s="46" t="e">
        <f t="shared" si="47"/>
        <v>#NUM!</v>
      </c>
      <c r="G431" s="46" t="e">
        <f t="shared" si="48"/>
        <v>#NUM!</v>
      </c>
      <c r="H431" s="46">
        <f t="shared" si="49"/>
        <v>7071640827.28016</v>
      </c>
      <c r="I431" s="46">
        <f t="shared" si="50"/>
        <v>14778233789.52</v>
      </c>
      <c r="J431" s="74">
        <f t="shared" si="51"/>
        <v>1</v>
      </c>
      <c r="K431" s="74"/>
      <c r="L431" s="74"/>
    </row>
    <row r="432" spans="1:12">
      <c r="A432" s="74">
        <v>405</v>
      </c>
      <c r="B432" s="45">
        <v>58349</v>
      </c>
      <c r="C432" s="46">
        <f t="shared" si="44"/>
        <v>54937672.08</v>
      </c>
      <c r="D432" s="46" t="e">
        <f t="shared" si="45"/>
        <v>#NUM!</v>
      </c>
      <c r="E432" s="46" t="e">
        <f t="shared" si="46"/>
        <v>#NUM!</v>
      </c>
      <c r="F432" s="46" t="e">
        <f t="shared" si="47"/>
        <v>#NUM!</v>
      </c>
      <c r="G432" s="46" t="e">
        <f t="shared" si="48"/>
        <v>#NUM!</v>
      </c>
      <c r="H432" s="46">
        <f t="shared" si="49"/>
        <v>7016703155.20016</v>
      </c>
      <c r="I432" s="46">
        <f t="shared" si="50"/>
        <v>14833171461.6</v>
      </c>
      <c r="J432" s="74">
        <f t="shared" si="51"/>
        <v>1</v>
      </c>
      <c r="K432" s="74"/>
      <c r="L432" s="74"/>
    </row>
    <row r="433" spans="1:12">
      <c r="A433" s="74">
        <v>406</v>
      </c>
      <c r="B433" s="45">
        <v>58380</v>
      </c>
      <c r="C433" s="46">
        <f t="shared" si="44"/>
        <v>54937672.08</v>
      </c>
      <c r="D433" s="46" t="e">
        <f t="shared" si="45"/>
        <v>#NUM!</v>
      </c>
      <c r="E433" s="46" t="e">
        <f t="shared" si="46"/>
        <v>#NUM!</v>
      </c>
      <c r="F433" s="46" t="e">
        <f t="shared" si="47"/>
        <v>#NUM!</v>
      </c>
      <c r="G433" s="46" t="e">
        <f t="shared" si="48"/>
        <v>#NUM!</v>
      </c>
      <c r="H433" s="46">
        <f t="shared" si="49"/>
        <v>6961765483.12016</v>
      </c>
      <c r="I433" s="46">
        <f t="shared" si="50"/>
        <v>14888109133.68</v>
      </c>
      <c r="J433" s="74">
        <f t="shared" si="51"/>
        <v>1</v>
      </c>
      <c r="K433" s="74"/>
      <c r="L433" s="74"/>
    </row>
    <row r="434" spans="1:12">
      <c r="A434" s="74">
        <v>407</v>
      </c>
      <c r="B434" s="45">
        <v>58410</v>
      </c>
      <c r="C434" s="46">
        <f t="shared" si="44"/>
        <v>54937672.08</v>
      </c>
      <c r="D434" s="46" t="e">
        <f t="shared" si="45"/>
        <v>#NUM!</v>
      </c>
      <c r="E434" s="46" t="e">
        <f t="shared" si="46"/>
        <v>#NUM!</v>
      </c>
      <c r="F434" s="46" t="e">
        <f t="shared" si="47"/>
        <v>#NUM!</v>
      </c>
      <c r="G434" s="46" t="e">
        <f t="shared" si="48"/>
        <v>#NUM!</v>
      </c>
      <c r="H434" s="46">
        <f t="shared" si="49"/>
        <v>6906827811.04016</v>
      </c>
      <c r="I434" s="46">
        <f t="shared" si="50"/>
        <v>14943046805.76</v>
      </c>
      <c r="J434" s="74">
        <f t="shared" si="51"/>
        <v>1</v>
      </c>
      <c r="K434" s="74"/>
      <c r="L434" s="74"/>
    </row>
    <row r="435" spans="1:12">
      <c r="A435" s="74">
        <v>408</v>
      </c>
      <c r="B435" s="45">
        <v>58441</v>
      </c>
      <c r="C435" s="46">
        <f t="shared" si="44"/>
        <v>54937672.08</v>
      </c>
      <c r="D435" s="46" t="e">
        <f t="shared" si="45"/>
        <v>#NUM!</v>
      </c>
      <c r="E435" s="46" t="e">
        <f t="shared" si="46"/>
        <v>#NUM!</v>
      </c>
      <c r="F435" s="46" t="e">
        <f t="shared" si="47"/>
        <v>#NUM!</v>
      </c>
      <c r="G435" s="46" t="e">
        <f t="shared" si="48"/>
        <v>#NUM!</v>
      </c>
      <c r="H435" s="46">
        <f t="shared" si="49"/>
        <v>6851890138.96016</v>
      </c>
      <c r="I435" s="46">
        <f t="shared" si="50"/>
        <v>14997984477.84</v>
      </c>
      <c r="J435" s="74">
        <f t="shared" si="51"/>
        <v>1</v>
      </c>
      <c r="K435" s="74"/>
      <c r="L435" s="74"/>
    </row>
    <row r="436" spans="1:12">
      <c r="A436" s="74">
        <v>409</v>
      </c>
      <c r="B436" s="45">
        <v>58472</v>
      </c>
      <c r="C436" s="46">
        <f t="shared" si="44"/>
        <v>54937672.08</v>
      </c>
      <c r="D436" s="46" t="e">
        <f t="shared" si="45"/>
        <v>#NUM!</v>
      </c>
      <c r="E436" s="46" t="e">
        <f t="shared" si="46"/>
        <v>#NUM!</v>
      </c>
      <c r="F436" s="46" t="e">
        <f t="shared" si="47"/>
        <v>#NUM!</v>
      </c>
      <c r="G436" s="46" t="e">
        <f t="shared" si="48"/>
        <v>#NUM!</v>
      </c>
      <c r="H436" s="46">
        <f t="shared" si="49"/>
        <v>6796952466.88016</v>
      </c>
      <c r="I436" s="46">
        <f t="shared" si="50"/>
        <v>15052922149.92</v>
      </c>
      <c r="J436" s="74">
        <f t="shared" si="51"/>
        <v>1</v>
      </c>
      <c r="K436" s="74"/>
      <c r="L436" s="74"/>
    </row>
    <row r="437" spans="1:12">
      <c r="A437" s="74">
        <v>410</v>
      </c>
      <c r="B437" s="45">
        <v>58501</v>
      </c>
      <c r="C437" s="46">
        <f t="shared" si="44"/>
        <v>54937672.08</v>
      </c>
      <c r="D437" s="46" t="e">
        <f t="shared" si="45"/>
        <v>#NUM!</v>
      </c>
      <c r="E437" s="46" t="e">
        <f t="shared" si="46"/>
        <v>#NUM!</v>
      </c>
      <c r="F437" s="46" t="e">
        <f t="shared" si="47"/>
        <v>#NUM!</v>
      </c>
      <c r="G437" s="46" t="e">
        <f t="shared" si="48"/>
        <v>#NUM!</v>
      </c>
      <c r="H437" s="46">
        <f t="shared" si="49"/>
        <v>6742014794.80016</v>
      </c>
      <c r="I437" s="46">
        <f t="shared" si="50"/>
        <v>15107859822</v>
      </c>
      <c r="J437" s="74">
        <f t="shared" si="51"/>
        <v>1</v>
      </c>
      <c r="K437" s="74"/>
      <c r="L437" s="74"/>
    </row>
    <row r="438" spans="1:12">
      <c r="A438" s="74">
        <v>411</v>
      </c>
      <c r="B438" s="45">
        <v>58532</v>
      </c>
      <c r="C438" s="46">
        <f t="shared" si="44"/>
        <v>54937672.08</v>
      </c>
      <c r="D438" s="46" t="e">
        <f t="shared" si="45"/>
        <v>#NUM!</v>
      </c>
      <c r="E438" s="46" t="e">
        <f t="shared" si="46"/>
        <v>#NUM!</v>
      </c>
      <c r="F438" s="46" t="e">
        <f t="shared" si="47"/>
        <v>#NUM!</v>
      </c>
      <c r="G438" s="46" t="e">
        <f t="shared" si="48"/>
        <v>#NUM!</v>
      </c>
      <c r="H438" s="46">
        <f t="shared" si="49"/>
        <v>6687077122.72016</v>
      </c>
      <c r="I438" s="46">
        <f t="shared" si="50"/>
        <v>15162797494.08</v>
      </c>
      <c r="J438" s="74">
        <f t="shared" si="51"/>
        <v>1</v>
      </c>
      <c r="K438" s="74"/>
      <c r="L438" s="74"/>
    </row>
    <row r="439" spans="1:12">
      <c r="A439" s="74">
        <v>412</v>
      </c>
      <c r="B439" s="45">
        <v>58562</v>
      </c>
      <c r="C439" s="46">
        <f t="shared" si="44"/>
        <v>54937672.08</v>
      </c>
      <c r="D439" s="46" t="e">
        <f t="shared" si="45"/>
        <v>#NUM!</v>
      </c>
      <c r="E439" s="46" t="e">
        <f t="shared" si="46"/>
        <v>#NUM!</v>
      </c>
      <c r="F439" s="46" t="e">
        <f t="shared" si="47"/>
        <v>#NUM!</v>
      </c>
      <c r="G439" s="46" t="e">
        <f t="shared" si="48"/>
        <v>#NUM!</v>
      </c>
      <c r="H439" s="46">
        <f t="shared" si="49"/>
        <v>6632139450.64016</v>
      </c>
      <c r="I439" s="46">
        <f t="shared" si="50"/>
        <v>15217735166.16</v>
      </c>
      <c r="J439" s="74">
        <f t="shared" si="51"/>
        <v>1</v>
      </c>
      <c r="K439" s="74"/>
      <c r="L439" s="74"/>
    </row>
    <row r="440" spans="1:12">
      <c r="A440" s="74">
        <v>413</v>
      </c>
      <c r="B440" s="45">
        <v>58593</v>
      </c>
      <c r="C440" s="46">
        <f t="shared" si="44"/>
        <v>54937672.08</v>
      </c>
      <c r="D440" s="46" t="e">
        <f t="shared" si="45"/>
        <v>#NUM!</v>
      </c>
      <c r="E440" s="46" t="e">
        <f t="shared" si="46"/>
        <v>#NUM!</v>
      </c>
      <c r="F440" s="46" t="e">
        <f t="shared" si="47"/>
        <v>#NUM!</v>
      </c>
      <c r="G440" s="46" t="e">
        <f t="shared" si="48"/>
        <v>#NUM!</v>
      </c>
      <c r="H440" s="46">
        <f t="shared" si="49"/>
        <v>6577201778.56016</v>
      </c>
      <c r="I440" s="46">
        <f t="shared" si="50"/>
        <v>15272672838.24</v>
      </c>
      <c r="J440" s="74">
        <f t="shared" si="51"/>
        <v>1</v>
      </c>
      <c r="K440" s="74"/>
      <c r="L440" s="74"/>
    </row>
    <row r="441" spans="1:12">
      <c r="A441" s="74">
        <v>414</v>
      </c>
      <c r="B441" s="45">
        <v>58623</v>
      </c>
      <c r="C441" s="46">
        <f t="shared" si="44"/>
        <v>54937672.08</v>
      </c>
      <c r="D441" s="46" t="e">
        <f t="shared" si="45"/>
        <v>#NUM!</v>
      </c>
      <c r="E441" s="46" t="e">
        <f t="shared" si="46"/>
        <v>#NUM!</v>
      </c>
      <c r="F441" s="46" t="e">
        <f t="shared" si="47"/>
        <v>#NUM!</v>
      </c>
      <c r="G441" s="46" t="e">
        <f t="shared" si="48"/>
        <v>#NUM!</v>
      </c>
      <c r="H441" s="46">
        <f t="shared" si="49"/>
        <v>6522264106.48016</v>
      </c>
      <c r="I441" s="46">
        <f t="shared" si="50"/>
        <v>15327610510.32</v>
      </c>
      <c r="J441" s="74">
        <f t="shared" si="51"/>
        <v>1</v>
      </c>
      <c r="K441" s="74"/>
      <c r="L441" s="74"/>
    </row>
    <row r="442" spans="1:12">
      <c r="A442" s="74">
        <v>415</v>
      </c>
      <c r="B442" s="45">
        <v>58654</v>
      </c>
      <c r="C442" s="46">
        <f t="shared" si="44"/>
        <v>54937672.08</v>
      </c>
      <c r="D442" s="46" t="e">
        <f t="shared" si="45"/>
        <v>#NUM!</v>
      </c>
      <c r="E442" s="46" t="e">
        <f t="shared" si="46"/>
        <v>#NUM!</v>
      </c>
      <c r="F442" s="46" t="e">
        <f t="shared" si="47"/>
        <v>#NUM!</v>
      </c>
      <c r="G442" s="46" t="e">
        <f t="shared" si="48"/>
        <v>#NUM!</v>
      </c>
      <c r="H442" s="46">
        <f t="shared" si="49"/>
        <v>6467326434.40016</v>
      </c>
      <c r="I442" s="46">
        <f t="shared" si="50"/>
        <v>15382548182.4</v>
      </c>
      <c r="J442" s="74">
        <f t="shared" si="51"/>
        <v>1</v>
      </c>
      <c r="K442" s="74"/>
      <c r="L442" s="74"/>
    </row>
    <row r="443" spans="1:12">
      <c r="A443" s="74">
        <v>416</v>
      </c>
      <c r="B443" s="45">
        <v>58685</v>
      </c>
      <c r="C443" s="46">
        <f t="shared" si="44"/>
        <v>54937672.08</v>
      </c>
      <c r="D443" s="46" t="e">
        <f t="shared" si="45"/>
        <v>#NUM!</v>
      </c>
      <c r="E443" s="46" t="e">
        <f t="shared" si="46"/>
        <v>#NUM!</v>
      </c>
      <c r="F443" s="46" t="e">
        <f t="shared" si="47"/>
        <v>#NUM!</v>
      </c>
      <c r="G443" s="46" t="e">
        <f t="shared" si="48"/>
        <v>#NUM!</v>
      </c>
      <c r="H443" s="46">
        <f t="shared" si="49"/>
        <v>6412388762.32016</v>
      </c>
      <c r="I443" s="46">
        <f t="shared" si="50"/>
        <v>15437485854.48</v>
      </c>
      <c r="J443" s="74">
        <f t="shared" si="51"/>
        <v>1</v>
      </c>
      <c r="K443" s="74"/>
      <c r="L443" s="74"/>
    </row>
    <row r="444" spans="1:12">
      <c r="A444" s="74">
        <v>417</v>
      </c>
      <c r="B444" s="45">
        <v>58715</v>
      </c>
      <c r="C444" s="46">
        <f t="shared" si="44"/>
        <v>54937672.08</v>
      </c>
      <c r="D444" s="46" t="e">
        <f t="shared" si="45"/>
        <v>#NUM!</v>
      </c>
      <c r="E444" s="46" t="e">
        <f t="shared" si="46"/>
        <v>#NUM!</v>
      </c>
      <c r="F444" s="46" t="e">
        <f t="shared" si="47"/>
        <v>#NUM!</v>
      </c>
      <c r="G444" s="46" t="e">
        <f t="shared" si="48"/>
        <v>#NUM!</v>
      </c>
      <c r="H444" s="46">
        <f t="shared" si="49"/>
        <v>6357451090.24016</v>
      </c>
      <c r="I444" s="46">
        <f t="shared" si="50"/>
        <v>15492423526.56</v>
      </c>
      <c r="J444" s="74">
        <f t="shared" si="51"/>
        <v>1</v>
      </c>
      <c r="K444" s="74"/>
      <c r="L444" s="74"/>
    </row>
    <row r="445" spans="1:12">
      <c r="A445" s="74">
        <v>418</v>
      </c>
      <c r="B445" s="45">
        <v>58746</v>
      </c>
      <c r="C445" s="46">
        <f t="shared" si="44"/>
        <v>54937672.08</v>
      </c>
      <c r="D445" s="46" t="e">
        <f t="shared" si="45"/>
        <v>#NUM!</v>
      </c>
      <c r="E445" s="46" t="e">
        <f t="shared" si="46"/>
        <v>#NUM!</v>
      </c>
      <c r="F445" s="46" t="e">
        <f t="shared" si="47"/>
        <v>#NUM!</v>
      </c>
      <c r="G445" s="46" t="e">
        <f t="shared" si="48"/>
        <v>#NUM!</v>
      </c>
      <c r="H445" s="46">
        <f t="shared" si="49"/>
        <v>6302513418.16016</v>
      </c>
      <c r="I445" s="46">
        <f t="shared" si="50"/>
        <v>15547361198.64</v>
      </c>
      <c r="J445" s="74">
        <f t="shared" si="51"/>
        <v>1</v>
      </c>
      <c r="K445" s="74"/>
      <c r="L445" s="74"/>
    </row>
    <row r="446" spans="1:12">
      <c r="A446" s="74">
        <v>419</v>
      </c>
      <c r="B446" s="45">
        <v>58776</v>
      </c>
      <c r="C446" s="46">
        <f t="shared" si="44"/>
        <v>54937672.08</v>
      </c>
      <c r="D446" s="46" t="e">
        <f t="shared" si="45"/>
        <v>#NUM!</v>
      </c>
      <c r="E446" s="46" t="e">
        <f t="shared" si="46"/>
        <v>#NUM!</v>
      </c>
      <c r="F446" s="46" t="e">
        <f t="shared" si="47"/>
        <v>#NUM!</v>
      </c>
      <c r="G446" s="46" t="e">
        <f t="shared" si="48"/>
        <v>#NUM!</v>
      </c>
      <c r="H446" s="46">
        <f t="shared" si="49"/>
        <v>6247575746.08016</v>
      </c>
      <c r="I446" s="46">
        <f t="shared" si="50"/>
        <v>15602298870.72</v>
      </c>
      <c r="J446" s="74">
        <f t="shared" si="51"/>
        <v>1</v>
      </c>
      <c r="K446" s="74"/>
      <c r="L446" s="74"/>
    </row>
    <row r="447" spans="1:12">
      <c r="A447" s="74">
        <v>420</v>
      </c>
      <c r="B447" s="45">
        <v>58807</v>
      </c>
      <c r="C447" s="46">
        <f t="shared" si="44"/>
        <v>54937672.08</v>
      </c>
      <c r="D447" s="46" t="e">
        <f t="shared" si="45"/>
        <v>#NUM!</v>
      </c>
      <c r="E447" s="46" t="e">
        <f t="shared" si="46"/>
        <v>#NUM!</v>
      </c>
      <c r="F447" s="46" t="e">
        <f t="shared" si="47"/>
        <v>#NUM!</v>
      </c>
      <c r="G447" s="46" t="e">
        <f t="shared" si="48"/>
        <v>#NUM!</v>
      </c>
      <c r="H447" s="46">
        <f t="shared" si="49"/>
        <v>6192638074.00016</v>
      </c>
      <c r="I447" s="46">
        <f t="shared" si="50"/>
        <v>15657236542.8</v>
      </c>
      <c r="J447" s="74">
        <f t="shared" si="51"/>
        <v>1</v>
      </c>
      <c r="K447" s="74"/>
      <c r="L447" s="74"/>
    </row>
    <row r="448" spans="1:12">
      <c r="A448" s="74">
        <v>421</v>
      </c>
      <c r="B448" s="45">
        <v>58838</v>
      </c>
      <c r="C448" s="46">
        <f t="shared" si="44"/>
        <v>54937672.08</v>
      </c>
      <c r="D448" s="46" t="e">
        <f t="shared" si="45"/>
        <v>#NUM!</v>
      </c>
      <c r="E448" s="46" t="e">
        <f t="shared" si="46"/>
        <v>#NUM!</v>
      </c>
      <c r="F448" s="46" t="e">
        <f t="shared" si="47"/>
        <v>#NUM!</v>
      </c>
      <c r="G448" s="46" t="e">
        <f t="shared" si="48"/>
        <v>#NUM!</v>
      </c>
      <c r="H448" s="46">
        <f t="shared" si="49"/>
        <v>6137700401.92016</v>
      </c>
      <c r="I448" s="46">
        <f t="shared" si="50"/>
        <v>15712174214.88</v>
      </c>
      <c r="J448" s="74">
        <f t="shared" si="51"/>
        <v>1</v>
      </c>
      <c r="K448" s="74"/>
      <c r="L448" s="74"/>
    </row>
    <row r="449" spans="1:12">
      <c r="A449" s="74">
        <v>422</v>
      </c>
      <c r="B449" s="45">
        <v>58866</v>
      </c>
      <c r="C449" s="46">
        <f t="shared" si="44"/>
        <v>54937672.08</v>
      </c>
      <c r="D449" s="46" t="e">
        <f t="shared" si="45"/>
        <v>#NUM!</v>
      </c>
      <c r="E449" s="46" t="e">
        <f t="shared" si="46"/>
        <v>#NUM!</v>
      </c>
      <c r="F449" s="46" t="e">
        <f t="shared" si="47"/>
        <v>#NUM!</v>
      </c>
      <c r="G449" s="46" t="e">
        <f t="shared" si="48"/>
        <v>#NUM!</v>
      </c>
      <c r="H449" s="46">
        <f t="shared" si="49"/>
        <v>6082762729.84016</v>
      </c>
      <c r="I449" s="46">
        <f t="shared" si="50"/>
        <v>15767111886.96</v>
      </c>
      <c r="J449" s="74">
        <f t="shared" si="51"/>
        <v>1</v>
      </c>
      <c r="K449" s="74"/>
      <c r="L449" s="74"/>
    </row>
    <row r="450" spans="1:12">
      <c r="A450" s="74">
        <v>423</v>
      </c>
      <c r="B450" s="45">
        <v>58897</v>
      </c>
      <c r="C450" s="46">
        <f t="shared" si="44"/>
        <v>54937672.08</v>
      </c>
      <c r="D450" s="46" t="e">
        <f t="shared" si="45"/>
        <v>#NUM!</v>
      </c>
      <c r="E450" s="46" t="e">
        <f t="shared" si="46"/>
        <v>#NUM!</v>
      </c>
      <c r="F450" s="46" t="e">
        <f t="shared" si="47"/>
        <v>#NUM!</v>
      </c>
      <c r="G450" s="46" t="e">
        <f t="shared" si="48"/>
        <v>#NUM!</v>
      </c>
      <c r="H450" s="46">
        <f t="shared" si="49"/>
        <v>6027825057.76016</v>
      </c>
      <c r="I450" s="46">
        <f t="shared" si="50"/>
        <v>15822049559.04</v>
      </c>
      <c r="J450" s="74">
        <f t="shared" si="51"/>
        <v>1</v>
      </c>
      <c r="K450" s="74"/>
      <c r="L450" s="74"/>
    </row>
    <row r="451" spans="1:12">
      <c r="A451" s="74">
        <v>424</v>
      </c>
      <c r="B451" s="45">
        <v>58927</v>
      </c>
      <c r="C451" s="46">
        <f t="shared" si="44"/>
        <v>54937672.08</v>
      </c>
      <c r="D451" s="46" t="e">
        <f t="shared" si="45"/>
        <v>#NUM!</v>
      </c>
      <c r="E451" s="46" t="e">
        <f t="shared" si="46"/>
        <v>#NUM!</v>
      </c>
      <c r="F451" s="46" t="e">
        <f t="shared" si="47"/>
        <v>#NUM!</v>
      </c>
      <c r="G451" s="46" t="e">
        <f t="shared" si="48"/>
        <v>#NUM!</v>
      </c>
      <c r="H451" s="46">
        <f t="shared" si="49"/>
        <v>5972887385.68016</v>
      </c>
      <c r="I451" s="46">
        <f t="shared" si="50"/>
        <v>15876987231.12</v>
      </c>
      <c r="J451" s="74">
        <f t="shared" si="51"/>
        <v>1</v>
      </c>
      <c r="K451" s="74"/>
      <c r="L451" s="74"/>
    </row>
    <row r="452" spans="1:12">
      <c r="A452" s="74">
        <v>425</v>
      </c>
      <c r="B452" s="45">
        <v>58958</v>
      </c>
      <c r="C452" s="46">
        <f t="shared" si="44"/>
        <v>54937672.08</v>
      </c>
      <c r="D452" s="46" t="e">
        <f t="shared" si="45"/>
        <v>#NUM!</v>
      </c>
      <c r="E452" s="46" t="e">
        <f t="shared" si="46"/>
        <v>#NUM!</v>
      </c>
      <c r="F452" s="46" t="e">
        <f t="shared" si="47"/>
        <v>#NUM!</v>
      </c>
      <c r="G452" s="46" t="e">
        <f t="shared" si="48"/>
        <v>#NUM!</v>
      </c>
      <c r="H452" s="46">
        <f t="shared" si="49"/>
        <v>5917949713.60016</v>
      </c>
      <c r="I452" s="46">
        <f t="shared" si="50"/>
        <v>15931924903.2</v>
      </c>
      <c r="J452" s="74">
        <f t="shared" si="51"/>
        <v>1</v>
      </c>
      <c r="K452" s="74"/>
      <c r="L452" s="74"/>
    </row>
    <row r="453" spans="1:12">
      <c r="A453" s="74">
        <v>426</v>
      </c>
      <c r="B453" s="45">
        <v>58988</v>
      </c>
      <c r="C453" s="46">
        <f t="shared" si="44"/>
        <v>54937672.08</v>
      </c>
      <c r="D453" s="46" t="e">
        <f t="shared" si="45"/>
        <v>#NUM!</v>
      </c>
      <c r="E453" s="46" t="e">
        <f t="shared" si="46"/>
        <v>#NUM!</v>
      </c>
      <c r="F453" s="46" t="e">
        <f t="shared" si="47"/>
        <v>#NUM!</v>
      </c>
      <c r="G453" s="46" t="e">
        <f t="shared" si="48"/>
        <v>#NUM!</v>
      </c>
      <c r="H453" s="46">
        <f t="shared" si="49"/>
        <v>5863012041.52016</v>
      </c>
      <c r="I453" s="46">
        <f t="shared" si="50"/>
        <v>15986862575.28</v>
      </c>
      <c r="J453" s="74">
        <f t="shared" si="51"/>
        <v>1</v>
      </c>
      <c r="K453" s="74"/>
      <c r="L453" s="74"/>
    </row>
    <row r="454" spans="1:12">
      <c r="A454" s="74">
        <v>427</v>
      </c>
      <c r="B454" s="45">
        <v>59019</v>
      </c>
      <c r="C454" s="46">
        <f t="shared" si="44"/>
        <v>54937672.08</v>
      </c>
      <c r="D454" s="46" t="e">
        <f t="shared" si="45"/>
        <v>#NUM!</v>
      </c>
      <c r="E454" s="46" t="e">
        <f t="shared" si="46"/>
        <v>#NUM!</v>
      </c>
      <c r="F454" s="46" t="e">
        <f t="shared" si="47"/>
        <v>#NUM!</v>
      </c>
      <c r="G454" s="46" t="e">
        <f t="shared" si="48"/>
        <v>#NUM!</v>
      </c>
      <c r="H454" s="46">
        <f t="shared" si="49"/>
        <v>5808074369.44016</v>
      </c>
      <c r="I454" s="46">
        <f t="shared" si="50"/>
        <v>16041800247.36</v>
      </c>
      <c r="J454" s="74">
        <f t="shared" si="51"/>
        <v>1</v>
      </c>
      <c r="K454" s="74"/>
      <c r="L454" s="74"/>
    </row>
    <row r="455" spans="1:12">
      <c r="A455" s="74">
        <v>428</v>
      </c>
      <c r="B455" s="45">
        <v>59050</v>
      </c>
      <c r="C455" s="46">
        <f t="shared" si="44"/>
        <v>54937672.08</v>
      </c>
      <c r="D455" s="46" t="e">
        <f t="shared" si="45"/>
        <v>#NUM!</v>
      </c>
      <c r="E455" s="46" t="e">
        <f t="shared" si="46"/>
        <v>#NUM!</v>
      </c>
      <c r="F455" s="46" t="e">
        <f t="shared" si="47"/>
        <v>#NUM!</v>
      </c>
      <c r="G455" s="46" t="e">
        <f t="shared" si="48"/>
        <v>#NUM!</v>
      </c>
      <c r="H455" s="46">
        <f t="shared" si="49"/>
        <v>5753136697.36016</v>
      </c>
      <c r="I455" s="46">
        <f t="shared" si="50"/>
        <v>16096737919.44</v>
      </c>
      <c r="J455" s="74">
        <f t="shared" si="51"/>
        <v>1</v>
      </c>
      <c r="K455" s="74"/>
      <c r="L455" s="74"/>
    </row>
    <row r="456" spans="1:12">
      <c r="A456" s="74">
        <v>429</v>
      </c>
      <c r="B456" s="45">
        <v>59080</v>
      </c>
      <c r="C456" s="46">
        <f t="shared" si="44"/>
        <v>54937672.08</v>
      </c>
      <c r="D456" s="46" t="e">
        <f t="shared" si="45"/>
        <v>#NUM!</v>
      </c>
      <c r="E456" s="46" t="e">
        <f t="shared" si="46"/>
        <v>#NUM!</v>
      </c>
      <c r="F456" s="46" t="e">
        <f t="shared" si="47"/>
        <v>#NUM!</v>
      </c>
      <c r="G456" s="46" t="e">
        <f t="shared" si="48"/>
        <v>#NUM!</v>
      </c>
      <c r="H456" s="46">
        <f t="shared" si="49"/>
        <v>5698199025.28016</v>
      </c>
      <c r="I456" s="46">
        <f t="shared" si="50"/>
        <v>16151675591.52</v>
      </c>
      <c r="J456" s="74">
        <f t="shared" si="51"/>
        <v>1</v>
      </c>
      <c r="K456" s="74"/>
      <c r="L456" s="74"/>
    </row>
    <row r="457" spans="1:12">
      <c r="A457" s="74">
        <v>430</v>
      </c>
      <c r="B457" s="45">
        <v>59111</v>
      </c>
      <c r="C457" s="46">
        <f t="shared" si="44"/>
        <v>54937672.08</v>
      </c>
      <c r="D457" s="46" t="e">
        <f t="shared" si="45"/>
        <v>#NUM!</v>
      </c>
      <c r="E457" s="46" t="e">
        <f t="shared" si="46"/>
        <v>#NUM!</v>
      </c>
      <c r="F457" s="46" t="e">
        <f t="shared" si="47"/>
        <v>#NUM!</v>
      </c>
      <c r="G457" s="46" t="e">
        <f t="shared" si="48"/>
        <v>#NUM!</v>
      </c>
      <c r="H457" s="46">
        <f t="shared" si="49"/>
        <v>5643261353.20016</v>
      </c>
      <c r="I457" s="46">
        <f t="shared" si="50"/>
        <v>16206613263.6</v>
      </c>
      <c r="J457" s="74">
        <f t="shared" si="51"/>
        <v>1</v>
      </c>
      <c r="K457" s="74"/>
      <c r="L457" s="74"/>
    </row>
    <row r="458" spans="1:12">
      <c r="A458" s="74">
        <v>431</v>
      </c>
      <c r="B458" s="45">
        <v>59141</v>
      </c>
      <c r="C458" s="46">
        <f t="shared" si="44"/>
        <v>54937672.08</v>
      </c>
      <c r="D458" s="46" t="e">
        <f t="shared" si="45"/>
        <v>#NUM!</v>
      </c>
      <c r="E458" s="46" t="e">
        <f t="shared" si="46"/>
        <v>#NUM!</v>
      </c>
      <c r="F458" s="46" t="e">
        <f t="shared" si="47"/>
        <v>#NUM!</v>
      </c>
      <c r="G458" s="46" t="e">
        <f t="shared" si="48"/>
        <v>#NUM!</v>
      </c>
      <c r="H458" s="46">
        <f t="shared" si="49"/>
        <v>5588323681.12016</v>
      </c>
      <c r="I458" s="46">
        <f t="shared" si="50"/>
        <v>16261550935.68</v>
      </c>
      <c r="J458" s="74">
        <f t="shared" si="51"/>
        <v>1</v>
      </c>
      <c r="K458" s="74"/>
      <c r="L458" s="74"/>
    </row>
    <row r="459" spans="1:12">
      <c r="A459" s="74">
        <v>432</v>
      </c>
      <c r="B459" s="45">
        <v>59172</v>
      </c>
      <c r="C459" s="46">
        <f t="shared" si="44"/>
        <v>54937672.08</v>
      </c>
      <c r="D459" s="46" t="e">
        <f t="shared" si="45"/>
        <v>#NUM!</v>
      </c>
      <c r="E459" s="46" t="e">
        <f t="shared" si="46"/>
        <v>#NUM!</v>
      </c>
      <c r="F459" s="46" t="e">
        <f t="shared" si="47"/>
        <v>#NUM!</v>
      </c>
      <c r="G459" s="46" t="e">
        <f t="shared" si="48"/>
        <v>#NUM!</v>
      </c>
      <c r="H459" s="46">
        <f t="shared" si="49"/>
        <v>5533386009.04016</v>
      </c>
      <c r="I459" s="46">
        <f t="shared" si="50"/>
        <v>16316488607.76</v>
      </c>
      <c r="J459" s="74">
        <f t="shared" si="51"/>
        <v>1</v>
      </c>
      <c r="K459" s="74"/>
      <c r="L459" s="74"/>
    </row>
    <row r="460" spans="1:12">
      <c r="A460" s="74">
        <v>433</v>
      </c>
      <c r="B460" s="45">
        <v>59203</v>
      </c>
      <c r="C460" s="46">
        <f t="shared" si="44"/>
        <v>54937672.08</v>
      </c>
      <c r="D460" s="46" t="e">
        <f t="shared" si="45"/>
        <v>#NUM!</v>
      </c>
      <c r="E460" s="46" t="e">
        <f t="shared" si="46"/>
        <v>#NUM!</v>
      </c>
      <c r="F460" s="46" t="e">
        <f t="shared" si="47"/>
        <v>#NUM!</v>
      </c>
      <c r="G460" s="46" t="e">
        <f t="shared" si="48"/>
        <v>#NUM!</v>
      </c>
      <c r="H460" s="46">
        <f t="shared" si="49"/>
        <v>5478448336.96016</v>
      </c>
      <c r="I460" s="46">
        <f t="shared" si="50"/>
        <v>16371426279.84</v>
      </c>
      <c r="J460" s="74">
        <f t="shared" si="51"/>
        <v>1</v>
      </c>
      <c r="K460" s="74"/>
      <c r="L460" s="74"/>
    </row>
    <row r="461" spans="1:12">
      <c r="A461" s="74">
        <v>434</v>
      </c>
      <c r="B461" s="45">
        <v>59231</v>
      </c>
      <c r="C461" s="46">
        <f t="shared" si="44"/>
        <v>54937672.08</v>
      </c>
      <c r="D461" s="46" t="e">
        <f t="shared" si="45"/>
        <v>#NUM!</v>
      </c>
      <c r="E461" s="46" t="e">
        <f t="shared" si="46"/>
        <v>#NUM!</v>
      </c>
      <c r="F461" s="46" t="e">
        <f t="shared" si="47"/>
        <v>#NUM!</v>
      </c>
      <c r="G461" s="46" t="e">
        <f t="shared" si="48"/>
        <v>#NUM!</v>
      </c>
      <c r="H461" s="46">
        <f t="shared" si="49"/>
        <v>5423510664.88016</v>
      </c>
      <c r="I461" s="46">
        <f t="shared" si="50"/>
        <v>16426363951.92</v>
      </c>
      <c r="J461" s="74">
        <f t="shared" si="51"/>
        <v>1</v>
      </c>
      <c r="K461" s="74"/>
      <c r="L461" s="74"/>
    </row>
    <row r="462" spans="1:12">
      <c r="A462" s="74">
        <v>435</v>
      </c>
      <c r="B462" s="45">
        <v>59262</v>
      </c>
      <c r="C462" s="46">
        <f t="shared" si="44"/>
        <v>54937672.08</v>
      </c>
      <c r="D462" s="46" t="e">
        <f t="shared" si="45"/>
        <v>#NUM!</v>
      </c>
      <c r="E462" s="46" t="e">
        <f t="shared" si="46"/>
        <v>#NUM!</v>
      </c>
      <c r="F462" s="46" t="e">
        <f t="shared" si="47"/>
        <v>#NUM!</v>
      </c>
      <c r="G462" s="46" t="e">
        <f t="shared" si="48"/>
        <v>#NUM!</v>
      </c>
      <c r="H462" s="46">
        <f t="shared" si="49"/>
        <v>5368572992.80016</v>
      </c>
      <c r="I462" s="46">
        <f t="shared" si="50"/>
        <v>16481301624</v>
      </c>
      <c r="J462" s="74">
        <f t="shared" si="51"/>
        <v>1</v>
      </c>
      <c r="K462" s="74"/>
      <c r="L462" s="74"/>
    </row>
    <row r="463" spans="1:12">
      <c r="A463" s="74">
        <v>436</v>
      </c>
      <c r="B463" s="45">
        <v>59292</v>
      </c>
      <c r="C463" s="46">
        <f t="shared" si="44"/>
        <v>54937672.08</v>
      </c>
      <c r="D463" s="46" t="e">
        <f t="shared" si="45"/>
        <v>#NUM!</v>
      </c>
      <c r="E463" s="46" t="e">
        <f t="shared" si="46"/>
        <v>#NUM!</v>
      </c>
      <c r="F463" s="46" t="e">
        <f t="shared" si="47"/>
        <v>#NUM!</v>
      </c>
      <c r="G463" s="46" t="e">
        <f t="shared" si="48"/>
        <v>#NUM!</v>
      </c>
      <c r="H463" s="46">
        <f t="shared" si="49"/>
        <v>5313635320.72016</v>
      </c>
      <c r="I463" s="46">
        <f t="shared" si="50"/>
        <v>16536239296.08</v>
      </c>
      <c r="J463" s="74">
        <f t="shared" si="51"/>
        <v>1</v>
      </c>
      <c r="K463" s="74"/>
      <c r="L463" s="74"/>
    </row>
    <row r="464" spans="1:12">
      <c r="A464" s="74">
        <v>437</v>
      </c>
      <c r="B464" s="45">
        <v>59323</v>
      </c>
      <c r="C464" s="46">
        <f t="shared" si="44"/>
        <v>54937672.08</v>
      </c>
      <c r="D464" s="46" t="e">
        <f t="shared" si="45"/>
        <v>#NUM!</v>
      </c>
      <c r="E464" s="46" t="e">
        <f t="shared" si="46"/>
        <v>#NUM!</v>
      </c>
      <c r="F464" s="46" t="e">
        <f t="shared" si="47"/>
        <v>#NUM!</v>
      </c>
      <c r="G464" s="46" t="e">
        <f t="shared" si="48"/>
        <v>#NUM!</v>
      </c>
      <c r="H464" s="46">
        <f t="shared" si="49"/>
        <v>5258697648.64016</v>
      </c>
      <c r="I464" s="46">
        <f t="shared" si="50"/>
        <v>16591176968.16</v>
      </c>
      <c r="J464" s="74">
        <f t="shared" si="51"/>
        <v>1</v>
      </c>
      <c r="K464" s="74"/>
      <c r="L464" s="74"/>
    </row>
    <row r="465" spans="1:12">
      <c r="A465" s="74">
        <v>438</v>
      </c>
      <c r="B465" s="45">
        <v>59353</v>
      </c>
      <c r="C465" s="46">
        <f t="shared" si="44"/>
        <v>54937672.08</v>
      </c>
      <c r="D465" s="46" t="e">
        <f t="shared" si="45"/>
        <v>#NUM!</v>
      </c>
      <c r="E465" s="46" t="e">
        <f t="shared" si="46"/>
        <v>#NUM!</v>
      </c>
      <c r="F465" s="46" t="e">
        <f t="shared" si="47"/>
        <v>#NUM!</v>
      </c>
      <c r="G465" s="46" t="e">
        <f t="shared" si="48"/>
        <v>#NUM!</v>
      </c>
      <c r="H465" s="46">
        <f t="shared" si="49"/>
        <v>5203759976.56016</v>
      </c>
      <c r="I465" s="46">
        <f t="shared" si="50"/>
        <v>16646114640.24</v>
      </c>
      <c r="J465" s="74">
        <f t="shared" si="51"/>
        <v>1</v>
      </c>
      <c r="K465" s="74"/>
      <c r="L465" s="74"/>
    </row>
    <row r="466" spans="1:12">
      <c r="A466" s="74">
        <v>439</v>
      </c>
      <c r="B466" s="45">
        <v>59384</v>
      </c>
      <c r="C466" s="46">
        <f t="shared" si="44"/>
        <v>54937672.08</v>
      </c>
      <c r="D466" s="46" t="e">
        <f t="shared" si="45"/>
        <v>#NUM!</v>
      </c>
      <c r="E466" s="46" t="e">
        <f t="shared" si="46"/>
        <v>#NUM!</v>
      </c>
      <c r="F466" s="46" t="e">
        <f t="shared" si="47"/>
        <v>#NUM!</v>
      </c>
      <c r="G466" s="46" t="e">
        <f t="shared" si="48"/>
        <v>#NUM!</v>
      </c>
      <c r="H466" s="46">
        <f t="shared" si="49"/>
        <v>5148822304.48016</v>
      </c>
      <c r="I466" s="46">
        <f t="shared" si="50"/>
        <v>16701052312.32</v>
      </c>
      <c r="J466" s="74">
        <f t="shared" si="51"/>
        <v>1</v>
      </c>
      <c r="K466" s="74"/>
      <c r="L466" s="74"/>
    </row>
    <row r="467" spans="1:12">
      <c r="A467" s="74">
        <v>440</v>
      </c>
      <c r="B467" s="45">
        <v>59415</v>
      </c>
      <c r="C467" s="46">
        <f t="shared" si="44"/>
        <v>54937672.08</v>
      </c>
      <c r="D467" s="46" t="e">
        <f t="shared" si="45"/>
        <v>#NUM!</v>
      </c>
      <c r="E467" s="46" t="e">
        <f t="shared" si="46"/>
        <v>#NUM!</v>
      </c>
      <c r="F467" s="46" t="e">
        <f t="shared" si="47"/>
        <v>#NUM!</v>
      </c>
      <c r="G467" s="46" t="e">
        <f t="shared" si="48"/>
        <v>#NUM!</v>
      </c>
      <c r="H467" s="46">
        <f t="shared" si="49"/>
        <v>5093884632.40016</v>
      </c>
      <c r="I467" s="46">
        <f t="shared" si="50"/>
        <v>16755989984.4</v>
      </c>
      <c r="J467" s="74">
        <f t="shared" si="51"/>
        <v>1</v>
      </c>
      <c r="K467" s="74"/>
      <c r="L467" s="74"/>
    </row>
    <row r="468" spans="1:12">
      <c r="A468" s="74">
        <v>441</v>
      </c>
      <c r="B468" s="45">
        <v>59445</v>
      </c>
      <c r="C468" s="46">
        <f t="shared" si="44"/>
        <v>54937672.08</v>
      </c>
      <c r="D468" s="46" t="e">
        <f t="shared" si="45"/>
        <v>#NUM!</v>
      </c>
      <c r="E468" s="46" t="e">
        <f t="shared" si="46"/>
        <v>#NUM!</v>
      </c>
      <c r="F468" s="46" t="e">
        <f t="shared" si="47"/>
        <v>#NUM!</v>
      </c>
      <c r="G468" s="46" t="e">
        <f t="shared" si="48"/>
        <v>#NUM!</v>
      </c>
      <c r="H468" s="46">
        <f t="shared" si="49"/>
        <v>5038946960.32016</v>
      </c>
      <c r="I468" s="46">
        <f t="shared" si="50"/>
        <v>16810927656.48</v>
      </c>
      <c r="J468" s="74">
        <f t="shared" si="51"/>
        <v>1</v>
      </c>
      <c r="K468" s="74"/>
      <c r="L468" s="74"/>
    </row>
    <row r="469" spans="1:12">
      <c r="A469" s="74">
        <v>442</v>
      </c>
      <c r="B469" s="45">
        <v>59476</v>
      </c>
      <c r="C469" s="46">
        <f t="shared" si="44"/>
        <v>54937672.08</v>
      </c>
      <c r="D469" s="46" t="e">
        <f t="shared" si="45"/>
        <v>#NUM!</v>
      </c>
      <c r="E469" s="46" t="e">
        <f t="shared" si="46"/>
        <v>#NUM!</v>
      </c>
      <c r="F469" s="46" t="e">
        <f t="shared" si="47"/>
        <v>#NUM!</v>
      </c>
      <c r="G469" s="46" t="e">
        <f t="shared" si="48"/>
        <v>#NUM!</v>
      </c>
      <c r="H469" s="46">
        <f t="shared" si="49"/>
        <v>4984009288.24016</v>
      </c>
      <c r="I469" s="46">
        <f t="shared" si="50"/>
        <v>16865865328.56</v>
      </c>
      <c r="J469" s="74">
        <f t="shared" si="51"/>
        <v>1</v>
      </c>
      <c r="K469" s="74"/>
      <c r="L469" s="74"/>
    </row>
    <row r="470" spans="1:12">
      <c r="A470" s="74">
        <v>443</v>
      </c>
      <c r="B470" s="45">
        <v>59506</v>
      </c>
      <c r="C470" s="46">
        <f t="shared" si="44"/>
        <v>54937672.08</v>
      </c>
      <c r="D470" s="46" t="e">
        <f t="shared" si="45"/>
        <v>#NUM!</v>
      </c>
      <c r="E470" s="46" t="e">
        <f t="shared" si="46"/>
        <v>#NUM!</v>
      </c>
      <c r="F470" s="46" t="e">
        <f t="shared" si="47"/>
        <v>#NUM!</v>
      </c>
      <c r="G470" s="46" t="e">
        <f t="shared" si="48"/>
        <v>#NUM!</v>
      </c>
      <c r="H470" s="46">
        <f t="shared" si="49"/>
        <v>4929071616.16016</v>
      </c>
      <c r="I470" s="46">
        <f t="shared" si="50"/>
        <v>16920803000.64</v>
      </c>
      <c r="J470" s="74">
        <f t="shared" si="51"/>
        <v>1</v>
      </c>
      <c r="K470" s="74"/>
      <c r="L470" s="74"/>
    </row>
    <row r="471" spans="1:12">
      <c r="A471" s="74">
        <v>444</v>
      </c>
      <c r="B471" s="45">
        <v>59537</v>
      </c>
      <c r="C471" s="46">
        <f t="shared" si="44"/>
        <v>54937672.08</v>
      </c>
      <c r="D471" s="46" t="e">
        <f t="shared" si="45"/>
        <v>#NUM!</v>
      </c>
      <c r="E471" s="46" t="e">
        <f t="shared" si="46"/>
        <v>#NUM!</v>
      </c>
      <c r="F471" s="46" t="e">
        <f t="shared" si="47"/>
        <v>#NUM!</v>
      </c>
      <c r="G471" s="46" t="e">
        <f t="shared" si="48"/>
        <v>#NUM!</v>
      </c>
      <c r="H471" s="46">
        <f t="shared" si="49"/>
        <v>4874133944.08016</v>
      </c>
      <c r="I471" s="46">
        <f t="shared" si="50"/>
        <v>16975740672.72</v>
      </c>
      <c r="J471" s="74">
        <f t="shared" si="51"/>
        <v>1</v>
      </c>
      <c r="K471" s="74"/>
      <c r="L471" s="74"/>
    </row>
    <row r="472" spans="1:12">
      <c r="A472" s="74">
        <v>445</v>
      </c>
      <c r="B472" s="45">
        <v>59568</v>
      </c>
      <c r="C472" s="46">
        <f t="shared" si="44"/>
        <v>54937672.08</v>
      </c>
      <c r="D472" s="46" t="e">
        <f t="shared" si="45"/>
        <v>#NUM!</v>
      </c>
      <c r="E472" s="46" t="e">
        <f t="shared" si="46"/>
        <v>#NUM!</v>
      </c>
      <c r="F472" s="46" t="e">
        <f t="shared" si="47"/>
        <v>#NUM!</v>
      </c>
      <c r="G472" s="46" t="e">
        <f t="shared" si="48"/>
        <v>#NUM!</v>
      </c>
      <c r="H472" s="46">
        <f t="shared" si="49"/>
        <v>4819196272.00016</v>
      </c>
      <c r="I472" s="46">
        <f t="shared" si="50"/>
        <v>17030678344.8</v>
      </c>
      <c r="J472" s="74">
        <f t="shared" si="51"/>
        <v>1</v>
      </c>
      <c r="K472" s="74"/>
      <c r="L472" s="74"/>
    </row>
    <row r="473" spans="1:12">
      <c r="A473" s="74">
        <v>446</v>
      </c>
      <c r="B473" s="45">
        <v>59596</v>
      </c>
      <c r="C473" s="46">
        <f t="shared" si="44"/>
        <v>54937672.08</v>
      </c>
      <c r="D473" s="46" t="e">
        <f t="shared" si="45"/>
        <v>#NUM!</v>
      </c>
      <c r="E473" s="46" t="e">
        <f t="shared" si="46"/>
        <v>#NUM!</v>
      </c>
      <c r="F473" s="46" t="e">
        <f t="shared" si="47"/>
        <v>#NUM!</v>
      </c>
      <c r="G473" s="46" t="e">
        <f t="shared" si="48"/>
        <v>#NUM!</v>
      </c>
      <c r="H473" s="46">
        <f t="shared" si="49"/>
        <v>4764258599.92016</v>
      </c>
      <c r="I473" s="46">
        <f t="shared" si="50"/>
        <v>17085616016.88</v>
      </c>
      <c r="J473" s="74">
        <f t="shared" si="51"/>
        <v>1</v>
      </c>
      <c r="K473" s="74"/>
      <c r="L473" s="74"/>
    </row>
    <row r="474" spans="1:12">
      <c r="A474" s="74">
        <v>447</v>
      </c>
      <c r="B474" s="45">
        <v>59627</v>
      </c>
      <c r="C474" s="46">
        <f t="shared" si="44"/>
        <v>54937672.08</v>
      </c>
      <c r="D474" s="46" t="e">
        <f t="shared" si="45"/>
        <v>#NUM!</v>
      </c>
      <c r="E474" s="46" t="e">
        <f t="shared" si="46"/>
        <v>#NUM!</v>
      </c>
      <c r="F474" s="46" t="e">
        <f t="shared" si="47"/>
        <v>#NUM!</v>
      </c>
      <c r="G474" s="46" t="e">
        <f t="shared" si="48"/>
        <v>#NUM!</v>
      </c>
      <c r="H474" s="46">
        <f t="shared" si="49"/>
        <v>4709320927.84016</v>
      </c>
      <c r="I474" s="46">
        <f t="shared" si="50"/>
        <v>17140553688.96</v>
      </c>
      <c r="J474" s="74">
        <f t="shared" si="51"/>
        <v>1</v>
      </c>
      <c r="K474" s="74"/>
      <c r="L474" s="74"/>
    </row>
    <row r="475" spans="1:12">
      <c r="A475" s="74">
        <v>448</v>
      </c>
      <c r="B475" s="45">
        <v>59657</v>
      </c>
      <c r="C475" s="46">
        <f t="shared" si="44"/>
        <v>54937672.08</v>
      </c>
      <c r="D475" s="46" t="e">
        <f t="shared" si="45"/>
        <v>#NUM!</v>
      </c>
      <c r="E475" s="46" t="e">
        <f t="shared" si="46"/>
        <v>#NUM!</v>
      </c>
      <c r="F475" s="46" t="e">
        <f t="shared" si="47"/>
        <v>#NUM!</v>
      </c>
      <c r="G475" s="46" t="e">
        <f t="shared" si="48"/>
        <v>#NUM!</v>
      </c>
      <c r="H475" s="46">
        <f t="shared" si="49"/>
        <v>4654383255.76016</v>
      </c>
      <c r="I475" s="46">
        <f t="shared" si="50"/>
        <v>17195491361.04</v>
      </c>
      <c r="J475" s="74">
        <f t="shared" si="51"/>
        <v>1</v>
      </c>
      <c r="K475" s="74"/>
      <c r="L475" s="74"/>
    </row>
    <row r="476" spans="1:12">
      <c r="A476" s="74">
        <v>449</v>
      </c>
      <c r="B476" s="45">
        <v>59688</v>
      </c>
      <c r="C476" s="46">
        <f t="shared" si="44"/>
        <v>54937672.08</v>
      </c>
      <c r="D476" s="46" t="e">
        <f t="shared" si="45"/>
        <v>#NUM!</v>
      </c>
      <c r="E476" s="46" t="e">
        <f t="shared" si="46"/>
        <v>#NUM!</v>
      </c>
      <c r="F476" s="46" t="e">
        <f t="shared" si="47"/>
        <v>#NUM!</v>
      </c>
      <c r="G476" s="46" t="e">
        <f t="shared" si="48"/>
        <v>#NUM!</v>
      </c>
      <c r="H476" s="46">
        <f t="shared" si="49"/>
        <v>4599445583.68016</v>
      </c>
      <c r="I476" s="46">
        <f t="shared" si="50"/>
        <v>17250429033.12</v>
      </c>
      <c r="J476" s="74">
        <f t="shared" si="51"/>
        <v>1</v>
      </c>
      <c r="K476" s="74"/>
      <c r="L476" s="74"/>
    </row>
    <row r="477" spans="1:12">
      <c r="A477" s="74">
        <v>450</v>
      </c>
      <c r="B477" s="45">
        <v>59718</v>
      </c>
      <c r="C477" s="46">
        <f t="shared" si="44"/>
        <v>54937672.08</v>
      </c>
      <c r="D477" s="46" t="e">
        <f t="shared" si="45"/>
        <v>#NUM!</v>
      </c>
      <c r="E477" s="46" t="e">
        <f t="shared" si="46"/>
        <v>#NUM!</v>
      </c>
      <c r="F477" s="46" t="e">
        <f t="shared" si="47"/>
        <v>#NUM!</v>
      </c>
      <c r="G477" s="46" t="e">
        <f t="shared" si="48"/>
        <v>#NUM!</v>
      </c>
      <c r="H477" s="46">
        <f t="shared" si="49"/>
        <v>4544507911.60015</v>
      </c>
      <c r="I477" s="46">
        <f t="shared" si="50"/>
        <v>17305366705.2</v>
      </c>
      <c r="J477" s="74">
        <f t="shared" si="51"/>
        <v>1</v>
      </c>
      <c r="K477" s="74"/>
      <c r="L477" s="74"/>
    </row>
    <row r="478" spans="1:12">
      <c r="A478" s="74">
        <v>451</v>
      </c>
      <c r="B478" s="45">
        <v>59749</v>
      </c>
      <c r="C478" s="46">
        <f t="shared" si="44"/>
        <v>54937672.08</v>
      </c>
      <c r="D478" s="46" t="e">
        <f t="shared" si="45"/>
        <v>#NUM!</v>
      </c>
      <c r="E478" s="46" t="e">
        <f t="shared" si="46"/>
        <v>#NUM!</v>
      </c>
      <c r="F478" s="46" t="e">
        <f t="shared" si="47"/>
        <v>#NUM!</v>
      </c>
      <c r="G478" s="46" t="e">
        <f t="shared" si="48"/>
        <v>#NUM!</v>
      </c>
      <c r="H478" s="46">
        <f t="shared" si="49"/>
        <v>4489570239.52015</v>
      </c>
      <c r="I478" s="46">
        <f t="shared" si="50"/>
        <v>17360304377.28</v>
      </c>
      <c r="J478" s="74">
        <f t="shared" si="51"/>
        <v>1</v>
      </c>
      <c r="K478" s="74"/>
      <c r="L478" s="74"/>
    </row>
    <row r="479" spans="1:12">
      <c r="A479" s="74">
        <v>452</v>
      </c>
      <c r="B479" s="45">
        <v>59780</v>
      </c>
      <c r="C479" s="46">
        <f t="shared" si="44"/>
        <v>54937672.08</v>
      </c>
      <c r="D479" s="46" t="e">
        <f t="shared" si="45"/>
        <v>#NUM!</v>
      </c>
      <c r="E479" s="46" t="e">
        <f t="shared" si="46"/>
        <v>#NUM!</v>
      </c>
      <c r="F479" s="46" t="e">
        <f t="shared" si="47"/>
        <v>#NUM!</v>
      </c>
      <c r="G479" s="46" t="e">
        <f t="shared" si="48"/>
        <v>#NUM!</v>
      </c>
      <c r="H479" s="46">
        <f t="shared" si="49"/>
        <v>4434632567.44015</v>
      </c>
      <c r="I479" s="46">
        <f t="shared" si="50"/>
        <v>17415242049.36</v>
      </c>
      <c r="J479" s="74">
        <f t="shared" si="51"/>
        <v>1</v>
      </c>
      <c r="K479" s="74"/>
      <c r="L479" s="74"/>
    </row>
    <row r="480" spans="1:12">
      <c r="A480" s="74">
        <v>453</v>
      </c>
      <c r="B480" s="45">
        <v>59810</v>
      </c>
      <c r="C480" s="46">
        <f t="shared" si="44"/>
        <v>54937672.08</v>
      </c>
      <c r="D480" s="46" t="e">
        <f t="shared" si="45"/>
        <v>#NUM!</v>
      </c>
      <c r="E480" s="46" t="e">
        <f t="shared" si="46"/>
        <v>#NUM!</v>
      </c>
      <c r="F480" s="46" t="e">
        <f t="shared" si="47"/>
        <v>#NUM!</v>
      </c>
      <c r="G480" s="46" t="e">
        <f t="shared" si="48"/>
        <v>#NUM!</v>
      </c>
      <c r="H480" s="46">
        <f t="shared" si="49"/>
        <v>4379694895.36015</v>
      </c>
      <c r="I480" s="46">
        <f t="shared" si="50"/>
        <v>17470179721.44</v>
      </c>
      <c r="J480" s="74">
        <f t="shared" si="51"/>
        <v>1</v>
      </c>
      <c r="K480" s="74"/>
      <c r="L480" s="74"/>
    </row>
    <row r="481" spans="1:12">
      <c r="A481" s="74">
        <v>454</v>
      </c>
      <c r="B481" s="45">
        <v>59841</v>
      </c>
      <c r="C481" s="46">
        <f t="shared" si="44"/>
        <v>54937672.08</v>
      </c>
      <c r="D481" s="46" t="e">
        <f t="shared" si="45"/>
        <v>#NUM!</v>
      </c>
      <c r="E481" s="46" t="e">
        <f t="shared" si="46"/>
        <v>#NUM!</v>
      </c>
      <c r="F481" s="46" t="e">
        <f t="shared" si="47"/>
        <v>#NUM!</v>
      </c>
      <c r="G481" s="46" t="e">
        <f t="shared" si="48"/>
        <v>#NUM!</v>
      </c>
      <c r="H481" s="46">
        <f t="shared" si="49"/>
        <v>4324757223.28015</v>
      </c>
      <c r="I481" s="46">
        <f t="shared" si="50"/>
        <v>17525117393.52</v>
      </c>
      <c r="J481" s="74">
        <f t="shared" si="51"/>
        <v>1</v>
      </c>
      <c r="K481" s="74"/>
      <c r="L481" s="74"/>
    </row>
    <row r="482" spans="1:12">
      <c r="A482" s="74">
        <v>455</v>
      </c>
      <c r="B482" s="45">
        <v>59871</v>
      </c>
      <c r="C482" s="46">
        <f t="shared" si="44"/>
        <v>54937672.08</v>
      </c>
      <c r="D482" s="46" t="e">
        <f t="shared" si="45"/>
        <v>#NUM!</v>
      </c>
      <c r="E482" s="46" t="e">
        <f t="shared" si="46"/>
        <v>#NUM!</v>
      </c>
      <c r="F482" s="46" t="e">
        <f t="shared" si="47"/>
        <v>#NUM!</v>
      </c>
      <c r="G482" s="46" t="e">
        <f t="shared" si="48"/>
        <v>#NUM!</v>
      </c>
      <c r="H482" s="46">
        <f t="shared" si="49"/>
        <v>4269819551.20015</v>
      </c>
      <c r="I482" s="46">
        <f t="shared" si="50"/>
        <v>17580055065.6</v>
      </c>
      <c r="J482" s="74">
        <f t="shared" si="51"/>
        <v>1</v>
      </c>
      <c r="K482" s="74"/>
      <c r="L482" s="74"/>
    </row>
    <row r="483" spans="1:12">
      <c r="A483" s="74">
        <v>456</v>
      </c>
      <c r="B483" s="45">
        <v>59902</v>
      </c>
      <c r="C483" s="46">
        <f t="shared" ref="C483:C527" si="52">ROUND(-PMT($B$5/$B$11,$B$10,$B$4,0),2)</f>
        <v>54937672.08</v>
      </c>
      <c r="D483" s="46" t="e">
        <f t="shared" ref="D483:D526" si="53">ROUND(-PPMT($B$5/$B$11,A483,$B$10,$B$4,0),2)</f>
        <v>#NUM!</v>
      </c>
      <c r="E483" s="46" t="e">
        <f t="shared" ref="E483:E527" si="54">C483-D483</f>
        <v>#NUM!</v>
      </c>
      <c r="F483" s="46" t="e">
        <f t="shared" ref="F483:F527" si="55">D483+F482</f>
        <v>#NUM!</v>
      </c>
      <c r="G483" s="46" t="e">
        <f t="shared" ref="G483:G527" si="56">$B$4-F483</f>
        <v>#NUM!</v>
      </c>
      <c r="H483" s="46">
        <f t="shared" ref="H483:H527" si="57">SUM($C$28:$C$527)-I483</f>
        <v>4214881879.12014</v>
      </c>
      <c r="I483" s="46">
        <f t="shared" ref="I483:I527" si="58">C483+I482</f>
        <v>17634992737.68</v>
      </c>
      <c r="J483" s="74">
        <f t="shared" ref="J483:J527" si="59">DATEDIF(B482,B483,"M")</f>
        <v>1</v>
      </c>
      <c r="K483" s="74"/>
      <c r="L483" s="74"/>
    </row>
    <row r="484" spans="1:12">
      <c r="A484" s="74">
        <v>457</v>
      </c>
      <c r="B484" s="45">
        <v>59933</v>
      </c>
      <c r="C484" s="46">
        <f t="shared" si="52"/>
        <v>54937672.08</v>
      </c>
      <c r="D484" s="46" t="e">
        <f t="shared" si="53"/>
        <v>#NUM!</v>
      </c>
      <c r="E484" s="46" t="e">
        <f t="shared" si="54"/>
        <v>#NUM!</v>
      </c>
      <c r="F484" s="46" t="e">
        <f t="shared" si="55"/>
        <v>#NUM!</v>
      </c>
      <c r="G484" s="46" t="e">
        <f t="shared" si="56"/>
        <v>#NUM!</v>
      </c>
      <c r="H484" s="46">
        <f t="shared" si="57"/>
        <v>4159944207.04014</v>
      </c>
      <c r="I484" s="46">
        <f t="shared" si="58"/>
        <v>17689930409.76</v>
      </c>
      <c r="J484" s="74">
        <f t="shared" si="59"/>
        <v>1</v>
      </c>
      <c r="K484" s="74"/>
      <c r="L484" s="74"/>
    </row>
    <row r="485" spans="1:12">
      <c r="A485" s="74">
        <v>458</v>
      </c>
      <c r="B485" s="45">
        <v>59962</v>
      </c>
      <c r="C485" s="46">
        <f t="shared" si="52"/>
        <v>54937672.08</v>
      </c>
      <c r="D485" s="46" t="e">
        <f t="shared" si="53"/>
        <v>#NUM!</v>
      </c>
      <c r="E485" s="46" t="e">
        <f t="shared" si="54"/>
        <v>#NUM!</v>
      </c>
      <c r="F485" s="46" t="e">
        <f t="shared" si="55"/>
        <v>#NUM!</v>
      </c>
      <c r="G485" s="46" t="e">
        <f t="shared" si="56"/>
        <v>#NUM!</v>
      </c>
      <c r="H485" s="46">
        <f t="shared" si="57"/>
        <v>4105006534.96014</v>
      </c>
      <c r="I485" s="46">
        <f t="shared" si="58"/>
        <v>17744868081.84</v>
      </c>
      <c r="J485" s="74">
        <f t="shared" si="59"/>
        <v>1</v>
      </c>
      <c r="K485" s="74"/>
      <c r="L485" s="74"/>
    </row>
    <row r="486" spans="1:12">
      <c r="A486" s="74">
        <v>459</v>
      </c>
      <c r="B486" s="45">
        <v>59993</v>
      </c>
      <c r="C486" s="46">
        <f t="shared" si="52"/>
        <v>54937672.08</v>
      </c>
      <c r="D486" s="46" t="e">
        <f t="shared" si="53"/>
        <v>#NUM!</v>
      </c>
      <c r="E486" s="46" t="e">
        <f t="shared" si="54"/>
        <v>#NUM!</v>
      </c>
      <c r="F486" s="46" t="e">
        <f t="shared" si="55"/>
        <v>#NUM!</v>
      </c>
      <c r="G486" s="46" t="e">
        <f t="shared" si="56"/>
        <v>#NUM!</v>
      </c>
      <c r="H486" s="46">
        <f t="shared" si="57"/>
        <v>4050068862.88014</v>
      </c>
      <c r="I486" s="46">
        <f t="shared" si="58"/>
        <v>17799805753.92</v>
      </c>
      <c r="J486" s="74">
        <f t="shared" si="59"/>
        <v>1</v>
      </c>
      <c r="K486" s="74"/>
      <c r="L486" s="74"/>
    </row>
    <row r="487" spans="1:12">
      <c r="A487" s="74">
        <v>460</v>
      </c>
      <c r="B487" s="45">
        <v>60023</v>
      </c>
      <c r="C487" s="46">
        <f t="shared" si="52"/>
        <v>54937672.08</v>
      </c>
      <c r="D487" s="46" t="e">
        <f t="shared" si="53"/>
        <v>#NUM!</v>
      </c>
      <c r="E487" s="46" t="e">
        <f t="shared" si="54"/>
        <v>#NUM!</v>
      </c>
      <c r="F487" s="46" t="e">
        <f t="shared" si="55"/>
        <v>#NUM!</v>
      </c>
      <c r="G487" s="46" t="e">
        <f t="shared" si="56"/>
        <v>#NUM!</v>
      </c>
      <c r="H487" s="46">
        <f t="shared" si="57"/>
        <v>3995131190.80014</v>
      </c>
      <c r="I487" s="46">
        <f t="shared" si="58"/>
        <v>17854743426</v>
      </c>
      <c r="J487" s="74">
        <f t="shared" si="59"/>
        <v>1</v>
      </c>
      <c r="K487" s="74"/>
      <c r="L487" s="74"/>
    </row>
    <row r="488" spans="1:12">
      <c r="A488" s="74">
        <v>461</v>
      </c>
      <c r="B488" s="45">
        <v>60054</v>
      </c>
      <c r="C488" s="46">
        <f t="shared" si="52"/>
        <v>54937672.08</v>
      </c>
      <c r="D488" s="46" t="e">
        <f t="shared" si="53"/>
        <v>#NUM!</v>
      </c>
      <c r="E488" s="46" t="e">
        <f t="shared" si="54"/>
        <v>#NUM!</v>
      </c>
      <c r="F488" s="46" t="e">
        <f t="shared" si="55"/>
        <v>#NUM!</v>
      </c>
      <c r="G488" s="46" t="e">
        <f t="shared" si="56"/>
        <v>#NUM!</v>
      </c>
      <c r="H488" s="46">
        <f t="shared" si="57"/>
        <v>3940193518.72013</v>
      </c>
      <c r="I488" s="46">
        <f t="shared" si="58"/>
        <v>17909681098.08</v>
      </c>
      <c r="J488" s="74">
        <f t="shared" si="59"/>
        <v>1</v>
      </c>
      <c r="K488" s="74"/>
      <c r="L488" s="74"/>
    </row>
    <row r="489" spans="1:12">
      <c r="A489" s="74">
        <v>462</v>
      </c>
      <c r="B489" s="45">
        <v>60084</v>
      </c>
      <c r="C489" s="46">
        <f t="shared" si="52"/>
        <v>54937672.08</v>
      </c>
      <c r="D489" s="46" t="e">
        <f t="shared" si="53"/>
        <v>#NUM!</v>
      </c>
      <c r="E489" s="46" t="e">
        <f t="shared" si="54"/>
        <v>#NUM!</v>
      </c>
      <c r="F489" s="46" t="e">
        <f t="shared" si="55"/>
        <v>#NUM!</v>
      </c>
      <c r="G489" s="46" t="e">
        <f t="shared" si="56"/>
        <v>#NUM!</v>
      </c>
      <c r="H489" s="46">
        <f t="shared" si="57"/>
        <v>3885255846.64013</v>
      </c>
      <c r="I489" s="46">
        <f t="shared" si="58"/>
        <v>17964618770.16</v>
      </c>
      <c r="J489" s="74">
        <f t="shared" si="59"/>
        <v>1</v>
      </c>
      <c r="K489" s="74"/>
      <c r="L489" s="74"/>
    </row>
    <row r="490" spans="1:12">
      <c r="A490" s="74">
        <v>463</v>
      </c>
      <c r="B490" s="45">
        <v>60115</v>
      </c>
      <c r="C490" s="46">
        <f t="shared" si="52"/>
        <v>54937672.08</v>
      </c>
      <c r="D490" s="46" t="e">
        <f t="shared" si="53"/>
        <v>#NUM!</v>
      </c>
      <c r="E490" s="46" t="e">
        <f t="shared" si="54"/>
        <v>#NUM!</v>
      </c>
      <c r="F490" s="46" t="e">
        <f t="shared" si="55"/>
        <v>#NUM!</v>
      </c>
      <c r="G490" s="46" t="e">
        <f t="shared" si="56"/>
        <v>#NUM!</v>
      </c>
      <c r="H490" s="46">
        <f t="shared" si="57"/>
        <v>3830318174.56013</v>
      </c>
      <c r="I490" s="46">
        <f t="shared" si="58"/>
        <v>18019556442.24</v>
      </c>
      <c r="J490" s="74">
        <f t="shared" si="59"/>
        <v>1</v>
      </c>
      <c r="K490" s="74"/>
      <c r="L490" s="74"/>
    </row>
    <row r="491" spans="1:12">
      <c r="A491" s="74">
        <v>464</v>
      </c>
      <c r="B491" s="45">
        <v>60146</v>
      </c>
      <c r="C491" s="46">
        <f t="shared" si="52"/>
        <v>54937672.08</v>
      </c>
      <c r="D491" s="46" t="e">
        <f t="shared" si="53"/>
        <v>#NUM!</v>
      </c>
      <c r="E491" s="46" t="e">
        <f t="shared" si="54"/>
        <v>#NUM!</v>
      </c>
      <c r="F491" s="46" t="e">
        <f t="shared" si="55"/>
        <v>#NUM!</v>
      </c>
      <c r="G491" s="46" t="e">
        <f t="shared" si="56"/>
        <v>#NUM!</v>
      </c>
      <c r="H491" s="46">
        <f t="shared" si="57"/>
        <v>3775380502.48013</v>
      </c>
      <c r="I491" s="46">
        <f t="shared" si="58"/>
        <v>18074494114.32</v>
      </c>
      <c r="J491" s="74">
        <f t="shared" si="59"/>
        <v>1</v>
      </c>
      <c r="K491" s="74"/>
      <c r="L491" s="74"/>
    </row>
    <row r="492" spans="1:12">
      <c r="A492" s="74">
        <v>465</v>
      </c>
      <c r="B492" s="45">
        <v>60176</v>
      </c>
      <c r="C492" s="46">
        <f t="shared" si="52"/>
        <v>54937672.08</v>
      </c>
      <c r="D492" s="46" t="e">
        <f t="shared" si="53"/>
        <v>#NUM!</v>
      </c>
      <c r="E492" s="46" t="e">
        <f t="shared" si="54"/>
        <v>#NUM!</v>
      </c>
      <c r="F492" s="46" t="e">
        <f t="shared" si="55"/>
        <v>#NUM!</v>
      </c>
      <c r="G492" s="46" t="e">
        <f t="shared" si="56"/>
        <v>#NUM!</v>
      </c>
      <c r="H492" s="46">
        <f t="shared" si="57"/>
        <v>3720442830.40013</v>
      </c>
      <c r="I492" s="46">
        <f t="shared" si="58"/>
        <v>18129431786.4</v>
      </c>
      <c r="J492" s="74">
        <f t="shared" si="59"/>
        <v>1</v>
      </c>
      <c r="K492" s="74"/>
      <c r="L492" s="74"/>
    </row>
    <row r="493" spans="1:12">
      <c r="A493" s="74">
        <v>466</v>
      </c>
      <c r="B493" s="45">
        <v>60207</v>
      </c>
      <c r="C493" s="46">
        <f t="shared" si="52"/>
        <v>54937672.08</v>
      </c>
      <c r="D493" s="46" t="e">
        <f t="shared" si="53"/>
        <v>#NUM!</v>
      </c>
      <c r="E493" s="46" t="e">
        <f t="shared" si="54"/>
        <v>#NUM!</v>
      </c>
      <c r="F493" s="46" t="e">
        <f t="shared" si="55"/>
        <v>#NUM!</v>
      </c>
      <c r="G493" s="46" t="e">
        <f t="shared" si="56"/>
        <v>#NUM!</v>
      </c>
      <c r="H493" s="46">
        <f t="shared" si="57"/>
        <v>3665505158.32013</v>
      </c>
      <c r="I493" s="46">
        <f t="shared" si="58"/>
        <v>18184369458.48</v>
      </c>
      <c r="J493" s="74">
        <f t="shared" si="59"/>
        <v>1</v>
      </c>
      <c r="K493" s="74"/>
      <c r="L493" s="74"/>
    </row>
    <row r="494" spans="1:12">
      <c r="A494" s="74">
        <v>467</v>
      </c>
      <c r="B494" s="45">
        <v>60237</v>
      </c>
      <c r="C494" s="46">
        <f t="shared" si="52"/>
        <v>54937672.08</v>
      </c>
      <c r="D494" s="46" t="e">
        <f t="shared" si="53"/>
        <v>#NUM!</v>
      </c>
      <c r="E494" s="46" t="e">
        <f t="shared" si="54"/>
        <v>#NUM!</v>
      </c>
      <c r="F494" s="46" t="e">
        <f t="shared" si="55"/>
        <v>#NUM!</v>
      </c>
      <c r="G494" s="46" t="e">
        <f t="shared" si="56"/>
        <v>#NUM!</v>
      </c>
      <c r="H494" s="46">
        <f t="shared" si="57"/>
        <v>3610567486.24012</v>
      </c>
      <c r="I494" s="46">
        <f t="shared" si="58"/>
        <v>18239307130.56</v>
      </c>
      <c r="J494" s="74">
        <f t="shared" si="59"/>
        <v>1</v>
      </c>
      <c r="K494" s="74"/>
      <c r="L494" s="74"/>
    </row>
    <row r="495" spans="1:12">
      <c r="A495" s="74">
        <v>468</v>
      </c>
      <c r="B495" s="45">
        <v>60268</v>
      </c>
      <c r="C495" s="46">
        <f t="shared" si="52"/>
        <v>54937672.08</v>
      </c>
      <c r="D495" s="46" t="e">
        <f t="shared" si="53"/>
        <v>#NUM!</v>
      </c>
      <c r="E495" s="46" t="e">
        <f t="shared" si="54"/>
        <v>#NUM!</v>
      </c>
      <c r="F495" s="46" t="e">
        <f t="shared" si="55"/>
        <v>#NUM!</v>
      </c>
      <c r="G495" s="46" t="e">
        <f t="shared" si="56"/>
        <v>#NUM!</v>
      </c>
      <c r="H495" s="46">
        <f t="shared" si="57"/>
        <v>3555629814.16012</v>
      </c>
      <c r="I495" s="46">
        <f t="shared" si="58"/>
        <v>18294244802.64</v>
      </c>
      <c r="J495" s="74">
        <f t="shared" si="59"/>
        <v>1</v>
      </c>
      <c r="K495" s="74"/>
      <c r="L495" s="74"/>
    </row>
    <row r="496" spans="1:12">
      <c r="A496" s="74">
        <v>469</v>
      </c>
      <c r="B496" s="45">
        <v>60299</v>
      </c>
      <c r="C496" s="46">
        <f t="shared" si="52"/>
        <v>54937672.08</v>
      </c>
      <c r="D496" s="46" t="e">
        <f t="shared" si="53"/>
        <v>#NUM!</v>
      </c>
      <c r="E496" s="46" t="e">
        <f t="shared" si="54"/>
        <v>#NUM!</v>
      </c>
      <c r="F496" s="46" t="e">
        <f t="shared" si="55"/>
        <v>#NUM!</v>
      </c>
      <c r="G496" s="46" t="e">
        <f t="shared" si="56"/>
        <v>#NUM!</v>
      </c>
      <c r="H496" s="46">
        <f t="shared" si="57"/>
        <v>3500692142.08012</v>
      </c>
      <c r="I496" s="46">
        <f t="shared" si="58"/>
        <v>18349182474.72</v>
      </c>
      <c r="J496" s="74">
        <f t="shared" si="59"/>
        <v>1</v>
      </c>
      <c r="K496" s="74"/>
      <c r="L496" s="74"/>
    </row>
    <row r="497" spans="1:12">
      <c r="A497" s="74">
        <v>470</v>
      </c>
      <c r="B497" s="45">
        <v>60327</v>
      </c>
      <c r="C497" s="46">
        <f t="shared" si="52"/>
        <v>54937672.08</v>
      </c>
      <c r="D497" s="46" t="e">
        <f t="shared" si="53"/>
        <v>#NUM!</v>
      </c>
      <c r="E497" s="46" t="e">
        <f t="shared" si="54"/>
        <v>#NUM!</v>
      </c>
      <c r="F497" s="46" t="e">
        <f t="shared" si="55"/>
        <v>#NUM!</v>
      </c>
      <c r="G497" s="46" t="e">
        <f t="shared" si="56"/>
        <v>#NUM!</v>
      </c>
      <c r="H497" s="46">
        <f t="shared" si="57"/>
        <v>3445754470.00012</v>
      </c>
      <c r="I497" s="46">
        <f t="shared" si="58"/>
        <v>18404120146.8</v>
      </c>
      <c r="J497" s="74">
        <f t="shared" si="59"/>
        <v>1</v>
      </c>
      <c r="K497" s="74"/>
      <c r="L497" s="74"/>
    </row>
    <row r="498" spans="1:12">
      <c r="A498" s="74">
        <v>471</v>
      </c>
      <c r="B498" s="45">
        <v>60358</v>
      </c>
      <c r="C498" s="46">
        <f t="shared" si="52"/>
        <v>54937672.08</v>
      </c>
      <c r="D498" s="46" t="e">
        <f t="shared" si="53"/>
        <v>#NUM!</v>
      </c>
      <c r="E498" s="46" t="e">
        <f t="shared" si="54"/>
        <v>#NUM!</v>
      </c>
      <c r="F498" s="46" t="e">
        <f t="shared" si="55"/>
        <v>#NUM!</v>
      </c>
      <c r="G498" s="46" t="e">
        <f t="shared" si="56"/>
        <v>#NUM!</v>
      </c>
      <c r="H498" s="46">
        <f t="shared" si="57"/>
        <v>3390816797.92012</v>
      </c>
      <c r="I498" s="46">
        <f t="shared" si="58"/>
        <v>18459057818.88</v>
      </c>
      <c r="J498" s="74">
        <f t="shared" si="59"/>
        <v>1</v>
      </c>
      <c r="K498" s="74"/>
      <c r="L498" s="74"/>
    </row>
    <row r="499" spans="1:12">
      <c r="A499" s="74">
        <v>472</v>
      </c>
      <c r="B499" s="45">
        <v>60388</v>
      </c>
      <c r="C499" s="46">
        <f t="shared" si="52"/>
        <v>54937672.08</v>
      </c>
      <c r="D499" s="46" t="e">
        <f t="shared" si="53"/>
        <v>#NUM!</v>
      </c>
      <c r="E499" s="46" t="e">
        <f t="shared" si="54"/>
        <v>#NUM!</v>
      </c>
      <c r="F499" s="46" t="e">
        <f t="shared" si="55"/>
        <v>#NUM!</v>
      </c>
      <c r="G499" s="46" t="e">
        <f t="shared" si="56"/>
        <v>#NUM!</v>
      </c>
      <c r="H499" s="46">
        <f t="shared" si="57"/>
        <v>3335879125.84011</v>
      </c>
      <c r="I499" s="46">
        <f t="shared" si="58"/>
        <v>18513995490.96</v>
      </c>
      <c r="J499" s="74">
        <f t="shared" si="59"/>
        <v>1</v>
      </c>
      <c r="K499" s="74"/>
      <c r="L499" s="74"/>
    </row>
    <row r="500" spans="1:12">
      <c r="A500" s="74">
        <v>473</v>
      </c>
      <c r="B500" s="45">
        <v>60419</v>
      </c>
      <c r="C500" s="46">
        <f t="shared" si="52"/>
        <v>54937672.08</v>
      </c>
      <c r="D500" s="46" t="e">
        <f t="shared" si="53"/>
        <v>#NUM!</v>
      </c>
      <c r="E500" s="46" t="e">
        <f t="shared" si="54"/>
        <v>#NUM!</v>
      </c>
      <c r="F500" s="46" t="e">
        <f t="shared" si="55"/>
        <v>#NUM!</v>
      </c>
      <c r="G500" s="46" t="e">
        <f t="shared" si="56"/>
        <v>#NUM!</v>
      </c>
      <c r="H500" s="46">
        <f t="shared" si="57"/>
        <v>3280941453.76011</v>
      </c>
      <c r="I500" s="46">
        <f t="shared" si="58"/>
        <v>18568933163.04</v>
      </c>
      <c r="J500" s="74">
        <f t="shared" si="59"/>
        <v>1</v>
      </c>
      <c r="K500" s="74"/>
      <c r="L500" s="74"/>
    </row>
    <row r="501" spans="1:12">
      <c r="A501" s="74">
        <v>474</v>
      </c>
      <c r="B501" s="45">
        <v>60449</v>
      </c>
      <c r="C501" s="46">
        <f t="shared" si="52"/>
        <v>54937672.08</v>
      </c>
      <c r="D501" s="46" t="e">
        <f t="shared" si="53"/>
        <v>#NUM!</v>
      </c>
      <c r="E501" s="46" t="e">
        <f t="shared" si="54"/>
        <v>#NUM!</v>
      </c>
      <c r="F501" s="46" t="e">
        <f t="shared" si="55"/>
        <v>#NUM!</v>
      </c>
      <c r="G501" s="46" t="e">
        <f t="shared" si="56"/>
        <v>#NUM!</v>
      </c>
      <c r="H501" s="46">
        <f t="shared" si="57"/>
        <v>3226003781.68011</v>
      </c>
      <c r="I501" s="46">
        <f t="shared" si="58"/>
        <v>18623870835.12</v>
      </c>
      <c r="J501" s="74">
        <f t="shared" si="59"/>
        <v>1</v>
      </c>
      <c r="K501" s="74"/>
      <c r="L501" s="74"/>
    </row>
    <row r="502" spans="1:12">
      <c r="A502" s="74">
        <v>475</v>
      </c>
      <c r="B502" s="45">
        <v>60480</v>
      </c>
      <c r="C502" s="46">
        <f t="shared" si="52"/>
        <v>54937672.08</v>
      </c>
      <c r="D502" s="46" t="e">
        <f t="shared" si="53"/>
        <v>#NUM!</v>
      </c>
      <c r="E502" s="46" t="e">
        <f t="shared" si="54"/>
        <v>#NUM!</v>
      </c>
      <c r="F502" s="46" t="e">
        <f t="shared" si="55"/>
        <v>#NUM!</v>
      </c>
      <c r="G502" s="46" t="e">
        <f t="shared" si="56"/>
        <v>#NUM!</v>
      </c>
      <c r="H502" s="46">
        <f t="shared" si="57"/>
        <v>3171066109.60011</v>
      </c>
      <c r="I502" s="46">
        <f t="shared" si="58"/>
        <v>18678808507.2</v>
      </c>
      <c r="J502" s="74">
        <f t="shared" si="59"/>
        <v>1</v>
      </c>
      <c r="K502" s="74"/>
      <c r="L502" s="74"/>
    </row>
    <row r="503" spans="1:12">
      <c r="A503" s="74">
        <v>476</v>
      </c>
      <c r="B503" s="45">
        <v>60511</v>
      </c>
      <c r="C503" s="46">
        <f t="shared" si="52"/>
        <v>54937672.08</v>
      </c>
      <c r="D503" s="46" t="e">
        <f t="shared" si="53"/>
        <v>#NUM!</v>
      </c>
      <c r="E503" s="46" t="e">
        <f t="shared" si="54"/>
        <v>#NUM!</v>
      </c>
      <c r="F503" s="46" t="e">
        <f t="shared" si="55"/>
        <v>#NUM!</v>
      </c>
      <c r="G503" s="46" t="e">
        <f t="shared" si="56"/>
        <v>#NUM!</v>
      </c>
      <c r="H503" s="46">
        <f t="shared" si="57"/>
        <v>3116128437.52011</v>
      </c>
      <c r="I503" s="46">
        <f t="shared" si="58"/>
        <v>18733746179.28</v>
      </c>
      <c r="J503" s="74">
        <f t="shared" si="59"/>
        <v>1</v>
      </c>
      <c r="K503" s="74"/>
      <c r="L503" s="74"/>
    </row>
    <row r="504" spans="1:12">
      <c r="A504" s="74">
        <v>477</v>
      </c>
      <c r="B504" s="45">
        <v>60541</v>
      </c>
      <c r="C504" s="46">
        <f t="shared" si="52"/>
        <v>54937672.08</v>
      </c>
      <c r="D504" s="46" t="e">
        <f t="shared" si="53"/>
        <v>#NUM!</v>
      </c>
      <c r="E504" s="46" t="e">
        <f t="shared" si="54"/>
        <v>#NUM!</v>
      </c>
      <c r="F504" s="46" t="e">
        <f t="shared" si="55"/>
        <v>#NUM!</v>
      </c>
      <c r="G504" s="46" t="e">
        <f t="shared" si="56"/>
        <v>#NUM!</v>
      </c>
      <c r="H504" s="46">
        <f t="shared" si="57"/>
        <v>3061190765.44011</v>
      </c>
      <c r="I504" s="46">
        <f t="shared" si="58"/>
        <v>18788683851.36</v>
      </c>
      <c r="J504" s="74">
        <f t="shared" si="59"/>
        <v>1</v>
      </c>
      <c r="K504" s="74"/>
      <c r="L504" s="74"/>
    </row>
    <row r="505" spans="1:12">
      <c r="A505" s="74">
        <v>478</v>
      </c>
      <c r="B505" s="45">
        <v>60572</v>
      </c>
      <c r="C505" s="46">
        <f t="shared" si="52"/>
        <v>54937672.08</v>
      </c>
      <c r="D505" s="46" t="e">
        <f t="shared" si="53"/>
        <v>#NUM!</v>
      </c>
      <c r="E505" s="46" t="e">
        <f t="shared" si="54"/>
        <v>#NUM!</v>
      </c>
      <c r="F505" s="46" t="e">
        <f t="shared" si="55"/>
        <v>#NUM!</v>
      </c>
      <c r="G505" s="46" t="e">
        <f t="shared" si="56"/>
        <v>#NUM!</v>
      </c>
      <c r="H505" s="46">
        <f t="shared" si="57"/>
        <v>3006253093.3601</v>
      </c>
      <c r="I505" s="46">
        <f t="shared" si="58"/>
        <v>18843621523.44</v>
      </c>
      <c r="J505" s="74">
        <f t="shared" si="59"/>
        <v>1</v>
      </c>
      <c r="K505" s="74"/>
      <c r="L505" s="74"/>
    </row>
    <row r="506" spans="1:12">
      <c r="A506" s="74">
        <v>479</v>
      </c>
      <c r="B506" s="45">
        <v>60602</v>
      </c>
      <c r="C506" s="46">
        <f t="shared" si="52"/>
        <v>54937672.08</v>
      </c>
      <c r="D506" s="46" t="e">
        <f t="shared" si="53"/>
        <v>#NUM!</v>
      </c>
      <c r="E506" s="46" t="e">
        <f t="shared" si="54"/>
        <v>#NUM!</v>
      </c>
      <c r="F506" s="46" t="e">
        <f t="shared" si="55"/>
        <v>#NUM!</v>
      </c>
      <c r="G506" s="46" t="e">
        <f t="shared" si="56"/>
        <v>#NUM!</v>
      </c>
      <c r="H506" s="46">
        <f t="shared" si="57"/>
        <v>2951315421.2801</v>
      </c>
      <c r="I506" s="46">
        <f t="shared" si="58"/>
        <v>18898559195.52</v>
      </c>
      <c r="J506" s="74">
        <f t="shared" si="59"/>
        <v>1</v>
      </c>
      <c r="K506" s="74"/>
      <c r="L506" s="74"/>
    </row>
    <row r="507" spans="1:12">
      <c r="A507" s="74">
        <v>480</v>
      </c>
      <c r="B507" s="45">
        <v>60633</v>
      </c>
      <c r="C507" s="46">
        <f t="shared" si="52"/>
        <v>54937672.08</v>
      </c>
      <c r="D507" s="46" t="e">
        <f t="shared" si="53"/>
        <v>#NUM!</v>
      </c>
      <c r="E507" s="46" t="e">
        <f t="shared" si="54"/>
        <v>#NUM!</v>
      </c>
      <c r="F507" s="46" t="e">
        <f t="shared" si="55"/>
        <v>#NUM!</v>
      </c>
      <c r="G507" s="46" t="e">
        <f t="shared" si="56"/>
        <v>#NUM!</v>
      </c>
      <c r="H507" s="46">
        <f t="shared" si="57"/>
        <v>2896377749.2001</v>
      </c>
      <c r="I507" s="46">
        <f t="shared" si="58"/>
        <v>18953496867.6</v>
      </c>
      <c r="J507" s="74">
        <f t="shared" si="59"/>
        <v>1</v>
      </c>
      <c r="K507" s="74"/>
      <c r="L507" s="74"/>
    </row>
    <row r="508" spans="1:12">
      <c r="A508" s="74">
        <v>481</v>
      </c>
      <c r="B508" s="45">
        <v>60664</v>
      </c>
      <c r="C508" s="46">
        <f t="shared" si="52"/>
        <v>54937672.08</v>
      </c>
      <c r="D508" s="46" t="e">
        <f t="shared" si="53"/>
        <v>#NUM!</v>
      </c>
      <c r="E508" s="46" t="e">
        <f t="shared" si="54"/>
        <v>#NUM!</v>
      </c>
      <c r="F508" s="46" t="e">
        <f t="shared" si="55"/>
        <v>#NUM!</v>
      </c>
      <c r="G508" s="46" t="e">
        <f t="shared" si="56"/>
        <v>#NUM!</v>
      </c>
      <c r="H508" s="46">
        <f t="shared" si="57"/>
        <v>2841440077.1201</v>
      </c>
      <c r="I508" s="46">
        <f t="shared" si="58"/>
        <v>19008434539.68</v>
      </c>
      <c r="J508" s="74">
        <f t="shared" si="59"/>
        <v>1</v>
      </c>
      <c r="K508" s="74"/>
      <c r="L508" s="74"/>
    </row>
    <row r="509" spans="1:12">
      <c r="A509" s="74">
        <v>482</v>
      </c>
      <c r="B509" s="45">
        <v>60692</v>
      </c>
      <c r="C509" s="46">
        <f t="shared" si="52"/>
        <v>54937672.08</v>
      </c>
      <c r="D509" s="46" t="e">
        <f t="shared" si="53"/>
        <v>#NUM!</v>
      </c>
      <c r="E509" s="46" t="e">
        <f t="shared" si="54"/>
        <v>#NUM!</v>
      </c>
      <c r="F509" s="46" t="e">
        <f t="shared" si="55"/>
        <v>#NUM!</v>
      </c>
      <c r="G509" s="46" t="e">
        <f t="shared" si="56"/>
        <v>#NUM!</v>
      </c>
      <c r="H509" s="46">
        <f t="shared" si="57"/>
        <v>2786502405.0401</v>
      </c>
      <c r="I509" s="46">
        <f t="shared" si="58"/>
        <v>19063372211.76</v>
      </c>
      <c r="J509" s="74">
        <f t="shared" si="59"/>
        <v>1</v>
      </c>
      <c r="K509" s="74"/>
      <c r="L509" s="74"/>
    </row>
    <row r="510" spans="1:12">
      <c r="A510" s="74">
        <v>483</v>
      </c>
      <c r="B510" s="45">
        <v>60723</v>
      </c>
      <c r="C510" s="46">
        <f t="shared" si="52"/>
        <v>54937672.08</v>
      </c>
      <c r="D510" s="46" t="e">
        <f t="shared" si="53"/>
        <v>#NUM!</v>
      </c>
      <c r="E510" s="46" t="e">
        <f t="shared" si="54"/>
        <v>#NUM!</v>
      </c>
      <c r="F510" s="46" t="e">
        <f t="shared" si="55"/>
        <v>#NUM!</v>
      </c>
      <c r="G510" s="46" t="e">
        <f t="shared" si="56"/>
        <v>#NUM!</v>
      </c>
      <c r="H510" s="46">
        <f t="shared" si="57"/>
        <v>2731564732.96009</v>
      </c>
      <c r="I510" s="46">
        <f t="shared" si="58"/>
        <v>19118309883.84</v>
      </c>
      <c r="J510" s="74">
        <f t="shared" si="59"/>
        <v>1</v>
      </c>
      <c r="K510" s="74"/>
      <c r="L510" s="74"/>
    </row>
    <row r="511" spans="1:12">
      <c r="A511" s="74">
        <v>484</v>
      </c>
      <c r="B511" s="45">
        <v>60753</v>
      </c>
      <c r="C511" s="46">
        <f t="shared" si="52"/>
        <v>54937672.08</v>
      </c>
      <c r="D511" s="46" t="e">
        <f t="shared" si="53"/>
        <v>#NUM!</v>
      </c>
      <c r="E511" s="46" t="e">
        <f t="shared" si="54"/>
        <v>#NUM!</v>
      </c>
      <c r="F511" s="46" t="e">
        <f t="shared" si="55"/>
        <v>#NUM!</v>
      </c>
      <c r="G511" s="46" t="e">
        <f t="shared" si="56"/>
        <v>#NUM!</v>
      </c>
      <c r="H511" s="46">
        <f t="shared" si="57"/>
        <v>2676627060.88009</v>
      </c>
      <c r="I511" s="46">
        <f t="shared" si="58"/>
        <v>19173247555.92</v>
      </c>
      <c r="J511" s="74">
        <f t="shared" si="59"/>
        <v>1</v>
      </c>
      <c r="K511" s="74"/>
      <c r="L511" s="74"/>
    </row>
    <row r="512" spans="1:12">
      <c r="A512" s="74">
        <v>485</v>
      </c>
      <c r="B512" s="45">
        <v>60784</v>
      </c>
      <c r="C512" s="46">
        <f t="shared" si="52"/>
        <v>54937672.08</v>
      </c>
      <c r="D512" s="46" t="e">
        <f t="shared" si="53"/>
        <v>#NUM!</v>
      </c>
      <c r="E512" s="46" t="e">
        <f t="shared" si="54"/>
        <v>#NUM!</v>
      </c>
      <c r="F512" s="46" t="e">
        <f t="shared" si="55"/>
        <v>#NUM!</v>
      </c>
      <c r="G512" s="46" t="e">
        <f t="shared" si="56"/>
        <v>#NUM!</v>
      </c>
      <c r="H512" s="46">
        <f t="shared" si="57"/>
        <v>2621689388.80009</v>
      </c>
      <c r="I512" s="46">
        <f t="shared" si="58"/>
        <v>19228185228</v>
      </c>
      <c r="J512" s="74">
        <f t="shared" si="59"/>
        <v>1</v>
      </c>
      <c r="K512" s="74"/>
      <c r="L512" s="74"/>
    </row>
    <row r="513" spans="1:12">
      <c r="A513" s="74">
        <v>486</v>
      </c>
      <c r="B513" s="45">
        <v>60814</v>
      </c>
      <c r="C513" s="46">
        <f t="shared" si="52"/>
        <v>54937672.08</v>
      </c>
      <c r="D513" s="46" t="e">
        <f t="shared" si="53"/>
        <v>#NUM!</v>
      </c>
      <c r="E513" s="46" t="e">
        <f t="shared" si="54"/>
        <v>#NUM!</v>
      </c>
      <c r="F513" s="46" t="e">
        <f t="shared" si="55"/>
        <v>#NUM!</v>
      </c>
      <c r="G513" s="46" t="e">
        <f t="shared" si="56"/>
        <v>#NUM!</v>
      </c>
      <c r="H513" s="46">
        <f t="shared" si="57"/>
        <v>2566751716.72009</v>
      </c>
      <c r="I513" s="46">
        <f t="shared" si="58"/>
        <v>19283122900.08</v>
      </c>
      <c r="J513" s="74">
        <f t="shared" si="59"/>
        <v>1</v>
      </c>
      <c r="K513" s="74"/>
      <c r="L513" s="74"/>
    </row>
    <row r="514" spans="1:12">
      <c r="A514" s="74">
        <v>487</v>
      </c>
      <c r="B514" s="45">
        <v>60845</v>
      </c>
      <c r="C514" s="46">
        <f t="shared" si="52"/>
        <v>54937672.08</v>
      </c>
      <c r="D514" s="46" t="e">
        <f t="shared" si="53"/>
        <v>#NUM!</v>
      </c>
      <c r="E514" s="46" t="e">
        <f t="shared" si="54"/>
        <v>#NUM!</v>
      </c>
      <c r="F514" s="46" t="e">
        <f t="shared" si="55"/>
        <v>#NUM!</v>
      </c>
      <c r="G514" s="46" t="e">
        <f t="shared" si="56"/>
        <v>#NUM!</v>
      </c>
      <c r="H514" s="46">
        <f t="shared" si="57"/>
        <v>2511814044.64009</v>
      </c>
      <c r="I514" s="46">
        <f t="shared" si="58"/>
        <v>19338060572.16</v>
      </c>
      <c r="J514" s="74">
        <f t="shared" si="59"/>
        <v>1</v>
      </c>
      <c r="K514" s="74"/>
      <c r="L514" s="74"/>
    </row>
    <row r="515" spans="1:12">
      <c r="A515" s="74">
        <v>488</v>
      </c>
      <c r="B515" s="45">
        <v>60876</v>
      </c>
      <c r="C515" s="46">
        <f t="shared" si="52"/>
        <v>54937672.08</v>
      </c>
      <c r="D515" s="46" t="e">
        <f t="shared" si="53"/>
        <v>#NUM!</v>
      </c>
      <c r="E515" s="46" t="e">
        <f t="shared" si="54"/>
        <v>#NUM!</v>
      </c>
      <c r="F515" s="46" t="e">
        <f t="shared" si="55"/>
        <v>#NUM!</v>
      </c>
      <c r="G515" s="46" t="e">
        <f t="shared" si="56"/>
        <v>#NUM!</v>
      </c>
      <c r="H515" s="46">
        <f t="shared" si="57"/>
        <v>2456876372.56009</v>
      </c>
      <c r="I515" s="46">
        <f t="shared" si="58"/>
        <v>19392998244.2401</v>
      </c>
      <c r="J515" s="74">
        <f t="shared" si="59"/>
        <v>1</v>
      </c>
      <c r="K515" s="74"/>
      <c r="L515" s="74"/>
    </row>
    <row r="516" spans="1:12">
      <c r="A516" s="74">
        <v>489</v>
      </c>
      <c r="B516" s="45">
        <v>60906</v>
      </c>
      <c r="C516" s="46">
        <f t="shared" si="52"/>
        <v>54937672.08</v>
      </c>
      <c r="D516" s="46" t="e">
        <f t="shared" si="53"/>
        <v>#NUM!</v>
      </c>
      <c r="E516" s="46" t="e">
        <f t="shared" si="54"/>
        <v>#NUM!</v>
      </c>
      <c r="F516" s="46" t="e">
        <f t="shared" si="55"/>
        <v>#NUM!</v>
      </c>
      <c r="G516" s="46" t="e">
        <f t="shared" si="56"/>
        <v>#NUM!</v>
      </c>
      <c r="H516" s="46">
        <f t="shared" si="57"/>
        <v>2401938700.48008</v>
      </c>
      <c r="I516" s="46">
        <f t="shared" si="58"/>
        <v>19447935916.3201</v>
      </c>
      <c r="J516" s="74">
        <f t="shared" si="59"/>
        <v>1</v>
      </c>
      <c r="K516" s="74"/>
      <c r="L516" s="74"/>
    </row>
    <row r="517" spans="1:12">
      <c r="A517" s="74">
        <v>490</v>
      </c>
      <c r="B517" s="45">
        <v>60937</v>
      </c>
      <c r="C517" s="46">
        <f t="shared" si="52"/>
        <v>54937672.08</v>
      </c>
      <c r="D517" s="46" t="e">
        <f t="shared" si="53"/>
        <v>#NUM!</v>
      </c>
      <c r="E517" s="46" t="e">
        <f t="shared" si="54"/>
        <v>#NUM!</v>
      </c>
      <c r="F517" s="46" t="e">
        <f t="shared" si="55"/>
        <v>#NUM!</v>
      </c>
      <c r="G517" s="46" t="e">
        <f t="shared" si="56"/>
        <v>#NUM!</v>
      </c>
      <c r="H517" s="46">
        <f t="shared" si="57"/>
        <v>2347001028.40008</v>
      </c>
      <c r="I517" s="46">
        <f t="shared" si="58"/>
        <v>19502873588.4001</v>
      </c>
      <c r="J517" s="74">
        <f t="shared" si="59"/>
        <v>1</v>
      </c>
      <c r="K517" s="74"/>
      <c r="L517" s="74"/>
    </row>
    <row r="518" spans="1:12">
      <c r="A518" s="74">
        <v>491</v>
      </c>
      <c r="B518" s="45">
        <v>60967</v>
      </c>
      <c r="C518" s="46">
        <f t="shared" si="52"/>
        <v>54937672.08</v>
      </c>
      <c r="D518" s="46" t="e">
        <f t="shared" si="53"/>
        <v>#NUM!</v>
      </c>
      <c r="E518" s="46" t="e">
        <f t="shared" si="54"/>
        <v>#NUM!</v>
      </c>
      <c r="F518" s="46" t="e">
        <f t="shared" si="55"/>
        <v>#NUM!</v>
      </c>
      <c r="G518" s="46" t="e">
        <f t="shared" si="56"/>
        <v>#NUM!</v>
      </c>
      <c r="H518" s="46">
        <f t="shared" si="57"/>
        <v>2292063356.32008</v>
      </c>
      <c r="I518" s="46">
        <f t="shared" si="58"/>
        <v>19557811260.4801</v>
      </c>
      <c r="J518" s="74">
        <f t="shared" si="59"/>
        <v>1</v>
      </c>
      <c r="K518" s="74"/>
      <c r="L518" s="74"/>
    </row>
    <row r="519" spans="1:12">
      <c r="A519" s="74">
        <v>492</v>
      </c>
      <c r="B519" s="45">
        <v>60998</v>
      </c>
      <c r="C519" s="46">
        <f t="shared" si="52"/>
        <v>54937672.08</v>
      </c>
      <c r="D519" s="46" t="e">
        <f t="shared" si="53"/>
        <v>#NUM!</v>
      </c>
      <c r="E519" s="46" t="e">
        <f t="shared" si="54"/>
        <v>#NUM!</v>
      </c>
      <c r="F519" s="46" t="e">
        <f t="shared" si="55"/>
        <v>#NUM!</v>
      </c>
      <c r="G519" s="46" t="e">
        <f t="shared" si="56"/>
        <v>#NUM!</v>
      </c>
      <c r="H519" s="46">
        <f t="shared" si="57"/>
        <v>2237125684.24008</v>
      </c>
      <c r="I519" s="46">
        <f t="shared" si="58"/>
        <v>19612748932.5601</v>
      </c>
      <c r="J519" s="74">
        <f t="shared" si="59"/>
        <v>1</v>
      </c>
      <c r="K519" s="74"/>
      <c r="L519" s="74"/>
    </row>
    <row r="520" spans="1:12">
      <c r="A520" s="74">
        <v>493</v>
      </c>
      <c r="B520" s="45">
        <v>61029</v>
      </c>
      <c r="C520" s="46">
        <f t="shared" si="52"/>
        <v>54937672.08</v>
      </c>
      <c r="D520" s="46" t="e">
        <f t="shared" si="53"/>
        <v>#NUM!</v>
      </c>
      <c r="E520" s="46" t="e">
        <f t="shared" si="54"/>
        <v>#NUM!</v>
      </c>
      <c r="F520" s="46" t="e">
        <f t="shared" si="55"/>
        <v>#NUM!</v>
      </c>
      <c r="G520" s="46" t="e">
        <f t="shared" si="56"/>
        <v>#NUM!</v>
      </c>
      <c r="H520" s="46">
        <f t="shared" si="57"/>
        <v>2182188012.16008</v>
      </c>
      <c r="I520" s="46">
        <f t="shared" si="58"/>
        <v>19667686604.6401</v>
      </c>
      <c r="J520" s="74">
        <f t="shared" si="59"/>
        <v>1</v>
      </c>
      <c r="K520" s="74"/>
      <c r="L520" s="74"/>
    </row>
    <row r="521" spans="1:12">
      <c r="A521" s="74">
        <v>494</v>
      </c>
      <c r="B521" s="45">
        <v>61057</v>
      </c>
      <c r="C521" s="46">
        <f t="shared" si="52"/>
        <v>54937672.08</v>
      </c>
      <c r="D521" s="46" t="e">
        <f t="shared" si="53"/>
        <v>#NUM!</v>
      </c>
      <c r="E521" s="46" t="e">
        <f t="shared" si="54"/>
        <v>#NUM!</v>
      </c>
      <c r="F521" s="46" t="e">
        <f t="shared" si="55"/>
        <v>#NUM!</v>
      </c>
      <c r="G521" s="46" t="e">
        <f t="shared" si="56"/>
        <v>#NUM!</v>
      </c>
      <c r="H521" s="46">
        <f t="shared" si="57"/>
        <v>2127250340.08007</v>
      </c>
      <c r="I521" s="46">
        <f t="shared" si="58"/>
        <v>19722624276.7201</v>
      </c>
      <c r="J521" s="74">
        <f t="shared" si="59"/>
        <v>1</v>
      </c>
      <c r="K521" s="74"/>
      <c r="L521" s="74"/>
    </row>
    <row r="522" spans="1:12">
      <c r="A522" s="74">
        <v>495</v>
      </c>
      <c r="B522" s="45">
        <v>61088</v>
      </c>
      <c r="C522" s="46">
        <f t="shared" si="52"/>
        <v>54937672.08</v>
      </c>
      <c r="D522" s="46" t="e">
        <f t="shared" si="53"/>
        <v>#NUM!</v>
      </c>
      <c r="E522" s="46" t="e">
        <f t="shared" si="54"/>
        <v>#NUM!</v>
      </c>
      <c r="F522" s="46" t="e">
        <f t="shared" si="55"/>
        <v>#NUM!</v>
      </c>
      <c r="G522" s="46" t="e">
        <f t="shared" si="56"/>
        <v>#NUM!</v>
      </c>
      <c r="H522" s="46">
        <f t="shared" si="57"/>
        <v>2072312668.00007</v>
      </c>
      <c r="I522" s="46">
        <f t="shared" si="58"/>
        <v>19777561948.8001</v>
      </c>
      <c r="J522" s="74">
        <f t="shared" si="59"/>
        <v>1</v>
      </c>
      <c r="K522" s="74"/>
      <c r="L522" s="74"/>
    </row>
    <row r="523" spans="1:12">
      <c r="A523" s="74">
        <v>496</v>
      </c>
      <c r="B523" s="45">
        <v>61118</v>
      </c>
      <c r="C523" s="46">
        <f t="shared" si="52"/>
        <v>54937672.08</v>
      </c>
      <c r="D523" s="46" t="e">
        <f t="shared" si="53"/>
        <v>#NUM!</v>
      </c>
      <c r="E523" s="46" t="e">
        <f t="shared" si="54"/>
        <v>#NUM!</v>
      </c>
      <c r="F523" s="46" t="e">
        <f t="shared" si="55"/>
        <v>#NUM!</v>
      </c>
      <c r="G523" s="46" t="e">
        <f t="shared" si="56"/>
        <v>#NUM!</v>
      </c>
      <c r="H523" s="46">
        <f t="shared" si="57"/>
        <v>2017374995.92007</v>
      </c>
      <c r="I523" s="46">
        <f t="shared" si="58"/>
        <v>19832499620.8801</v>
      </c>
      <c r="J523" s="74">
        <f t="shared" si="59"/>
        <v>1</v>
      </c>
      <c r="K523" s="74"/>
      <c r="L523" s="74"/>
    </row>
    <row r="524" spans="1:12">
      <c r="A524" s="74">
        <v>497</v>
      </c>
      <c r="B524" s="45">
        <v>61149</v>
      </c>
      <c r="C524" s="46">
        <f t="shared" si="52"/>
        <v>54937672.08</v>
      </c>
      <c r="D524" s="46" t="e">
        <f t="shared" si="53"/>
        <v>#NUM!</v>
      </c>
      <c r="E524" s="46" t="e">
        <f t="shared" si="54"/>
        <v>#NUM!</v>
      </c>
      <c r="F524" s="46" t="e">
        <f t="shared" si="55"/>
        <v>#NUM!</v>
      </c>
      <c r="G524" s="46" t="e">
        <f t="shared" si="56"/>
        <v>#NUM!</v>
      </c>
      <c r="H524" s="46">
        <f t="shared" si="57"/>
        <v>1962437323.84007</v>
      </c>
      <c r="I524" s="46">
        <f t="shared" si="58"/>
        <v>19887437292.9601</v>
      </c>
      <c r="J524" s="74">
        <f t="shared" si="59"/>
        <v>1</v>
      </c>
      <c r="K524" s="74"/>
      <c r="L524" s="74"/>
    </row>
    <row r="525" spans="1:12">
      <c r="A525" s="74">
        <v>498</v>
      </c>
      <c r="B525" s="45">
        <v>61179</v>
      </c>
      <c r="C525" s="46">
        <f t="shared" si="52"/>
        <v>54937672.08</v>
      </c>
      <c r="D525" s="46" t="e">
        <f t="shared" si="53"/>
        <v>#NUM!</v>
      </c>
      <c r="E525" s="46" t="e">
        <f t="shared" si="54"/>
        <v>#NUM!</v>
      </c>
      <c r="F525" s="46" t="e">
        <f t="shared" si="55"/>
        <v>#NUM!</v>
      </c>
      <c r="G525" s="46" t="e">
        <f t="shared" si="56"/>
        <v>#NUM!</v>
      </c>
      <c r="H525" s="46">
        <f t="shared" si="57"/>
        <v>1907499651.76007</v>
      </c>
      <c r="I525" s="46">
        <f t="shared" si="58"/>
        <v>19942374965.0401</v>
      </c>
      <c r="J525" s="74">
        <f t="shared" si="59"/>
        <v>1</v>
      </c>
      <c r="K525" s="74"/>
      <c r="L525" s="74"/>
    </row>
    <row r="526" spans="1:12">
      <c r="A526" s="74">
        <v>499</v>
      </c>
      <c r="B526" s="45">
        <v>61210</v>
      </c>
      <c r="C526" s="46">
        <f t="shared" si="52"/>
        <v>54937672.08</v>
      </c>
      <c r="D526" s="46" t="e">
        <f t="shared" si="53"/>
        <v>#NUM!</v>
      </c>
      <c r="E526" s="46" t="e">
        <f t="shared" si="54"/>
        <v>#NUM!</v>
      </c>
      <c r="F526" s="46" t="e">
        <f t="shared" si="55"/>
        <v>#NUM!</v>
      </c>
      <c r="G526" s="46" t="e">
        <f t="shared" si="56"/>
        <v>#NUM!</v>
      </c>
      <c r="H526" s="46">
        <f t="shared" si="57"/>
        <v>1852561979.68007</v>
      </c>
      <c r="I526" s="46">
        <f t="shared" si="58"/>
        <v>19997312637.1201</v>
      </c>
      <c r="J526" s="74">
        <f t="shared" si="59"/>
        <v>1</v>
      </c>
      <c r="K526" s="74"/>
      <c r="L526" s="74"/>
    </row>
    <row r="527" spans="1:12">
      <c r="A527" s="74">
        <v>500</v>
      </c>
      <c r="B527" s="45">
        <v>61241</v>
      </c>
      <c r="C527" s="46">
        <f t="shared" si="52"/>
        <v>54937672.08</v>
      </c>
      <c r="D527" s="46" t="e">
        <f>$B$4-SUM(D28:D526)</f>
        <v>#NUM!</v>
      </c>
      <c r="E527" s="46" t="e">
        <f t="shared" si="54"/>
        <v>#NUM!</v>
      </c>
      <c r="F527" s="46" t="e">
        <f t="shared" si="55"/>
        <v>#NUM!</v>
      </c>
      <c r="G527" s="46" t="e">
        <f t="shared" si="56"/>
        <v>#NUM!</v>
      </c>
      <c r="H527" s="46">
        <f t="shared" si="57"/>
        <v>1797624307.60006</v>
      </c>
      <c r="I527" s="46">
        <f t="shared" si="58"/>
        <v>20052250309.2001</v>
      </c>
      <c r="J527" s="74">
        <f t="shared" si="59"/>
        <v>1</v>
      </c>
      <c r="K527" s="74"/>
      <c r="L527" s="74"/>
    </row>
    <row r="528" spans="1:12">
      <c r="A528" s="77" t="s">
        <v>56</v>
      </c>
      <c r="B528" s="77" t="s">
        <v>57</v>
      </c>
      <c r="C528" s="77">
        <f>SUM(C28:C527)</f>
        <v>21849874616.8001</v>
      </c>
      <c r="D528" s="77" t="e">
        <f>SUM(D28:D527)</f>
        <v>#NUM!</v>
      </c>
      <c r="E528" s="77" t="e">
        <f>SUM(E28:E527)</f>
        <v>#NUM!</v>
      </c>
      <c r="F528" s="77" t="s">
        <v>57</v>
      </c>
      <c r="G528" s="77" t="s">
        <v>57</v>
      </c>
      <c r="H528" s="77" t="s">
        <v>57</v>
      </c>
      <c r="I528" s="77" t="s">
        <v>57</v>
      </c>
      <c r="J528" s="77">
        <f>SUM(J28:J527)</f>
        <v>2134</v>
      </c>
      <c r="K528" s="83"/>
      <c r="L528" s="83"/>
    </row>
    <row r="529" spans="1:9">
      <c r="A529"/>
      <c r="B529"/>
      <c r="C529"/>
      <c r="D529"/>
      <c r="E529"/>
      <c r="F529"/>
      <c r="G529"/>
      <c r="H529"/>
      <c r="I529"/>
    </row>
    <row r="530" spans="1:9">
      <c r="A530"/>
      <c r="B530"/>
      <c r="C530"/>
      <c r="D530"/>
      <c r="E530"/>
      <c r="F530"/>
      <c r="G530"/>
      <c r="H530"/>
      <c r="I530"/>
    </row>
    <row r="531" spans="1:9">
      <c r="A531"/>
      <c r="B531"/>
      <c r="C531"/>
      <c r="D531"/>
      <c r="E531"/>
      <c r="F531"/>
      <c r="G531"/>
      <c r="H531"/>
      <c r="I531"/>
    </row>
    <row r="532" spans="1:9">
      <c r="A532"/>
      <c r="B532"/>
      <c r="C532"/>
      <c r="D532"/>
      <c r="E532"/>
      <c r="F532"/>
      <c r="G532"/>
      <c r="H532"/>
      <c r="I532"/>
    </row>
    <row r="533" spans="1:9">
      <c r="A533"/>
      <c r="B533"/>
      <c r="C533"/>
      <c r="D533"/>
      <c r="E533"/>
      <c r="F533"/>
      <c r="G533"/>
      <c r="H533"/>
      <c r="I533"/>
    </row>
    <row r="534" spans="1:9">
      <c r="A534"/>
      <c r="B534"/>
      <c r="C534"/>
      <c r="D534"/>
      <c r="E534"/>
      <c r="F534"/>
      <c r="G534"/>
      <c r="H534"/>
      <c r="I534"/>
    </row>
    <row r="535" spans="1:9">
      <c r="A535"/>
      <c r="B535"/>
      <c r="C535"/>
      <c r="D535"/>
      <c r="E535"/>
      <c r="F535"/>
      <c r="G535"/>
      <c r="H535"/>
      <c r="I535"/>
    </row>
    <row r="536" spans="1:9">
      <c r="A536"/>
      <c r="B536"/>
      <c r="C536"/>
      <c r="D536"/>
      <c r="E536"/>
      <c r="F536"/>
      <c r="G536"/>
      <c r="H536"/>
      <c r="I536"/>
    </row>
    <row r="537" spans="1:9">
      <c r="A537"/>
      <c r="B537"/>
      <c r="C537"/>
      <c r="D537"/>
      <c r="E537"/>
      <c r="F537"/>
      <c r="G537"/>
      <c r="H537"/>
      <c r="I537"/>
    </row>
    <row r="538" spans="1:9">
      <c r="A538"/>
      <c r="B538"/>
      <c r="C538"/>
      <c r="D538"/>
      <c r="E538"/>
      <c r="F538"/>
      <c r="G538"/>
      <c r="H538"/>
      <c r="I538"/>
    </row>
    <row r="539" spans="1:9">
      <c r="A539"/>
      <c r="B539"/>
      <c r="C539"/>
      <c r="D539"/>
      <c r="E539"/>
      <c r="F539"/>
      <c r="G539"/>
      <c r="H539"/>
      <c r="I539"/>
    </row>
    <row r="540" spans="1:9">
      <c r="A540"/>
      <c r="B540"/>
      <c r="C540"/>
      <c r="D540"/>
      <c r="E540"/>
      <c r="F540"/>
      <c r="G540"/>
      <c r="H540"/>
      <c r="I540"/>
    </row>
    <row r="541" spans="1:9">
      <c r="A541"/>
      <c r="B541"/>
      <c r="C541"/>
      <c r="D541"/>
      <c r="E541"/>
      <c r="F541"/>
      <c r="G541"/>
      <c r="H541"/>
      <c r="I541"/>
    </row>
    <row r="542" spans="1:9">
      <c r="A542"/>
      <c r="B542"/>
      <c r="C542"/>
      <c r="D542"/>
      <c r="E542"/>
      <c r="F542"/>
      <c r="G542"/>
      <c r="H542"/>
      <c r="I542"/>
    </row>
    <row r="543" spans="1:9">
      <c r="A543"/>
      <c r="B543"/>
      <c r="C543"/>
      <c r="D543"/>
      <c r="E543"/>
      <c r="F543"/>
      <c r="G543"/>
      <c r="H543"/>
      <c r="I543"/>
    </row>
    <row r="544" spans="1:9">
      <c r="A544"/>
      <c r="B544"/>
      <c r="C544"/>
      <c r="D544"/>
      <c r="E544"/>
      <c r="F544"/>
      <c r="G544"/>
      <c r="H544"/>
      <c r="I544"/>
    </row>
    <row r="545" spans="1:9">
      <c r="A545"/>
      <c r="B545"/>
      <c r="C545"/>
      <c r="D545"/>
      <c r="E545"/>
      <c r="F545"/>
      <c r="G545"/>
      <c r="H545"/>
      <c r="I545"/>
    </row>
    <row r="546" spans="1:9">
      <c r="A546"/>
      <c r="B546"/>
      <c r="C546"/>
      <c r="D546"/>
      <c r="E546"/>
      <c r="F546"/>
      <c r="G546"/>
      <c r="H546"/>
      <c r="I546"/>
    </row>
    <row r="547" spans="1:9">
      <c r="A547"/>
      <c r="B547"/>
      <c r="C547"/>
      <c r="D547"/>
      <c r="E547"/>
      <c r="F547"/>
      <c r="G547"/>
      <c r="H547"/>
      <c r="I547"/>
    </row>
    <row r="548" spans="1:9">
      <c r="A548"/>
      <c r="B548"/>
      <c r="C548"/>
      <c r="D548"/>
      <c r="E548"/>
      <c r="F548"/>
      <c r="G548"/>
      <c r="H548"/>
      <c r="I548"/>
    </row>
    <row r="549" spans="1:9">
      <c r="A549"/>
      <c r="B549"/>
      <c r="C549"/>
      <c r="D549"/>
      <c r="E549"/>
      <c r="F549"/>
      <c r="G549"/>
      <c r="H549"/>
      <c r="I549"/>
    </row>
    <row r="550" spans="1:9">
      <c r="A550"/>
      <c r="B550"/>
      <c r="C550"/>
      <c r="D550"/>
      <c r="E550"/>
      <c r="F550"/>
      <c r="G550"/>
      <c r="H550"/>
      <c r="I550"/>
    </row>
    <row r="551" spans="1:9">
      <c r="A551"/>
      <c r="B551"/>
      <c r="C551"/>
      <c r="D551"/>
      <c r="E551"/>
      <c r="F551"/>
      <c r="G551"/>
      <c r="H551"/>
      <c r="I551"/>
    </row>
    <row r="552" spans="1:9">
      <c r="A552"/>
      <c r="B552"/>
      <c r="C552"/>
      <c r="D552"/>
      <c r="E552"/>
      <c r="F552"/>
      <c r="G552"/>
      <c r="H552"/>
      <c r="I552"/>
    </row>
    <row r="553" spans="1:9">
      <c r="A553"/>
      <c r="B553"/>
      <c r="C553"/>
      <c r="D553"/>
      <c r="E553"/>
      <c r="F553"/>
      <c r="G553"/>
      <c r="H553"/>
      <c r="I553"/>
    </row>
    <row r="554" spans="1:9">
      <c r="A554"/>
      <c r="B554"/>
      <c r="C554"/>
      <c r="D554"/>
      <c r="E554"/>
      <c r="F554"/>
      <c r="G554"/>
      <c r="H554"/>
      <c r="I554"/>
    </row>
    <row r="555" spans="1:9">
      <c r="A555"/>
      <c r="B555"/>
      <c r="C555"/>
      <c r="D555"/>
      <c r="E555"/>
      <c r="F555"/>
      <c r="G555"/>
      <c r="H555"/>
      <c r="I555"/>
    </row>
    <row r="556" spans="1:9">
      <c r="A556"/>
      <c r="B556"/>
      <c r="C556"/>
      <c r="D556"/>
      <c r="E556"/>
      <c r="F556"/>
      <c r="G556"/>
      <c r="H556"/>
      <c r="I556"/>
    </row>
    <row r="557" spans="1:9">
      <c r="A557"/>
      <c r="B557"/>
      <c r="C557"/>
      <c r="D557"/>
      <c r="E557"/>
      <c r="F557"/>
      <c r="G557"/>
      <c r="H557"/>
      <c r="I557"/>
    </row>
    <row r="558" spans="1:9">
      <c r="A558"/>
      <c r="B558"/>
      <c r="C558"/>
      <c r="D558"/>
      <c r="E558"/>
      <c r="F558"/>
      <c r="G558"/>
      <c r="H558"/>
      <c r="I558"/>
    </row>
    <row r="559" spans="1:9">
      <c r="A559"/>
      <c r="B559"/>
      <c r="C559"/>
      <c r="D559"/>
      <c r="E559"/>
      <c r="F559"/>
      <c r="G559"/>
      <c r="H559"/>
      <c r="I559"/>
    </row>
    <row r="560" spans="1:9">
      <c r="A560"/>
      <c r="B560"/>
      <c r="C560"/>
      <c r="D560"/>
      <c r="E560"/>
      <c r="F560"/>
      <c r="G560"/>
      <c r="H560"/>
      <c r="I560"/>
    </row>
    <row r="561" spans="1:9">
      <c r="A561"/>
      <c r="B561"/>
      <c r="C561"/>
      <c r="D561"/>
      <c r="E561"/>
      <c r="F561"/>
      <c r="G561"/>
      <c r="H561"/>
      <c r="I561"/>
    </row>
    <row r="562" spans="1:9">
      <c r="A562"/>
      <c r="B562"/>
      <c r="C562"/>
      <c r="D562"/>
      <c r="E562"/>
      <c r="F562"/>
      <c r="G562"/>
      <c r="H562"/>
      <c r="I562"/>
    </row>
    <row r="563" spans="1:9">
      <c r="A563"/>
      <c r="B563"/>
      <c r="C563"/>
      <c r="D563"/>
      <c r="E563"/>
      <c r="F563"/>
      <c r="G563"/>
      <c r="H563"/>
      <c r="I563"/>
    </row>
    <row r="564" spans="1:9">
      <c r="A564"/>
      <c r="B564"/>
      <c r="C564"/>
      <c r="D564"/>
      <c r="E564"/>
      <c r="F564"/>
      <c r="G564"/>
      <c r="H564"/>
      <c r="I564"/>
    </row>
    <row r="565" spans="1:9">
      <c r="A565"/>
      <c r="B565"/>
      <c r="C565"/>
      <c r="D565"/>
      <c r="E565"/>
      <c r="F565"/>
      <c r="G565"/>
      <c r="H565"/>
      <c r="I565"/>
    </row>
    <row r="566" spans="1:9">
      <c r="A566"/>
      <c r="B566"/>
      <c r="C566"/>
      <c r="D566"/>
      <c r="E566"/>
      <c r="F566"/>
      <c r="G566"/>
      <c r="H566"/>
      <c r="I566"/>
    </row>
    <row r="567" spans="1:9">
      <c r="A567"/>
      <c r="B567"/>
      <c r="C567"/>
      <c r="D567"/>
      <c r="E567"/>
      <c r="F567"/>
      <c r="G567"/>
      <c r="H567"/>
      <c r="I567"/>
    </row>
    <row r="568" spans="1:9">
      <c r="A568"/>
      <c r="B568"/>
      <c r="C568"/>
      <c r="D568"/>
      <c r="E568"/>
      <c r="F568"/>
      <c r="G568"/>
      <c r="H568"/>
      <c r="I568"/>
    </row>
  </sheetData>
  <dataValidations count="7">
    <dataValidation type="list" allowBlank="1" showInputMessage="1" showErrorMessage="1" sqref="D5">
      <formula1>还款设置!$K$2:$K$3</formula1>
    </dataValidation>
    <dataValidation type="list" allowBlank="1" showInputMessage="1" showErrorMessage="1" sqref="D10">
      <formula1>还款设置!$B$2:$B$5</formula1>
    </dataValidation>
    <dataValidation type="list" allowBlank="1" showInputMessage="1" showErrorMessage="1" sqref="G11">
      <formula1>还款设置!$L$2:$L$3</formula1>
    </dataValidation>
    <dataValidation type="list" allowBlank="1" showInputMessage="1" showErrorMessage="1" sqref="I11">
      <formula1>还款设置!$N$2:$N$13</formula1>
    </dataValidation>
    <dataValidation type="list" allowBlank="1" showInputMessage="1" showErrorMessage="1" sqref="B12">
      <formula1>还款设置!$A$2:$A$9</formula1>
    </dataValidation>
    <dataValidation type="list" allowBlank="1" showInputMessage="1" showErrorMessage="1" sqref="G14">
      <formula1>还款设置!$D$2:$D$6</formula1>
    </dataValidation>
    <dataValidation type="list" allowBlank="1" showInputMessage="1" showErrorMessage="1" sqref="B22">
      <formula1>还款设置!$P$2:$P$6</formula1>
    </dataValidation>
  </dataValidation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59393" r:id="rId3">
          <controlPr defaultSize="0" r:id="rId4">
            <anchor moveWithCells="1">
              <from>
                <xdr:col>0</xdr:col>
                <xdr:colOff>1303655</xdr:colOff>
                <xdr:row>1</xdr:row>
                <xdr:rowOff>0</xdr:rowOff>
              </from>
              <to>
                <xdr:col>0</xdr:col>
                <xdr:colOff>1333500</xdr:colOff>
                <xdr:row>1</xdr:row>
                <xdr:rowOff>8255</xdr:rowOff>
              </to>
            </anchor>
          </controlPr>
        </control>
      </mc:Choice>
      <mc:Fallback>
        <control shapeId="59393" r:id="rId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O42"/>
  <sheetViews>
    <sheetView zoomScale="85" zoomScaleNormal="85" topLeftCell="A8" workbookViewId="0">
      <selection activeCell="F27" sqref="F27"/>
    </sheetView>
  </sheetViews>
  <sheetFormatPr defaultColWidth="9" defaultRowHeight="16.8"/>
  <cols>
    <col min="1" max="1" width="16" customWidth="1"/>
    <col min="2" max="2" width="23.6696428571429" customWidth="1"/>
    <col min="3" max="3" width="23" customWidth="1"/>
    <col min="4" max="4" width="29.3482142857143" customWidth="1"/>
    <col min="5" max="5" width="16.6517857142857" customWidth="1"/>
    <col min="6" max="6" width="39.1428571428571" customWidth="1"/>
    <col min="7" max="7" width="16.4642857142857" customWidth="1"/>
    <col min="8" max="8" width="14.7589285714286" customWidth="1"/>
    <col min="9" max="9" width="14.3482142857143" customWidth="1"/>
    <col min="10" max="10" width="18" customWidth="1"/>
    <col min="11" max="11" width="12.7589285714286" customWidth="1"/>
    <col min="12" max="12" width="13.1160714285714" customWidth="1"/>
    <col min="13" max="13" width="14.7589285714286" customWidth="1"/>
    <col min="14" max="14" width="9" customWidth="1"/>
    <col min="15" max="15" width="11.2321428571429" customWidth="1"/>
  </cols>
  <sheetData>
    <row r="1" spans="1:10">
      <c r="A1" s="19" t="s">
        <v>92</v>
      </c>
      <c r="B1" s="20">
        <v>0.3</v>
      </c>
      <c r="C1" s="21" t="s">
        <v>93</v>
      </c>
      <c r="D1" s="22" t="e">
        <f>#REF!*银行承兑汇票!B1</f>
        <v>#REF!</v>
      </c>
      <c r="E1" s="1"/>
      <c r="F1" s="1"/>
      <c r="H1" s="1"/>
      <c r="I1" s="1"/>
    </row>
    <row r="2" spans="1:10">
      <c r="A2" t="s">
        <v>94</v>
      </c>
      <c r="B2" s="23">
        <f>1-B1</f>
        <v>0.7</v>
      </c>
      <c r="C2" s="21" t="s">
        <v>95</v>
      </c>
      <c r="D2" s="22" t="e">
        <f>#REF!*银行承兑汇票!B2</f>
        <v>#REF!</v>
      </c>
      <c r="E2" s="1"/>
      <c r="F2" s="1"/>
      <c r="H2" s="1"/>
      <c r="I2" s="1"/>
      <c r="J2" s="19"/>
    </row>
    <row r="3" spans="1:10">
      <c r="A3" t="s">
        <v>96</v>
      </c>
      <c r="B3" s="20">
        <v>0.2</v>
      </c>
      <c r="C3" s="4" t="s">
        <v>97</v>
      </c>
      <c r="D3" s="22" t="e">
        <f>D2*B3</f>
        <v>#REF!</v>
      </c>
      <c r="E3" s="1"/>
      <c r="F3" s="1"/>
      <c r="G3" s="1"/>
      <c r="H3" s="1"/>
      <c r="I3" s="1"/>
      <c r="J3" s="19"/>
    </row>
    <row r="4" spans="1:10">
      <c r="A4" t="s">
        <v>98</v>
      </c>
      <c r="B4" s="23">
        <f>1-B3</f>
        <v>0.8</v>
      </c>
      <c r="C4" t="s">
        <v>99</v>
      </c>
      <c r="D4" s="22" t="e">
        <f>B4*D2</f>
        <v>#REF!</v>
      </c>
      <c r="E4" s="1"/>
      <c r="F4" s="1"/>
      <c r="G4" s="1"/>
      <c r="H4" s="1"/>
      <c r="I4" s="1"/>
      <c r="J4" s="19"/>
    </row>
    <row r="5" spans="1:10">
      <c r="A5" t="s">
        <v>100</v>
      </c>
      <c r="B5" s="20">
        <v>0.02</v>
      </c>
      <c r="C5" t="s">
        <v>101</v>
      </c>
      <c r="D5" s="22" t="e">
        <f>B5*D3</f>
        <v>#REF!</v>
      </c>
      <c r="E5" s="1" t="s">
        <v>102</v>
      </c>
      <c r="F5" s="1">
        <v>0</v>
      </c>
      <c r="G5" s="1"/>
      <c r="H5" s="1"/>
      <c r="I5" s="1"/>
      <c r="J5" s="19">
        <v>0</v>
      </c>
    </row>
    <row r="6" spans="1:10">
      <c r="A6" t="s">
        <v>103</v>
      </c>
      <c r="B6" s="4">
        <v>0.0035</v>
      </c>
      <c r="C6" s="1"/>
      <c r="E6" s="1" t="s">
        <v>104</v>
      </c>
      <c r="F6" s="1">
        <v>356965</v>
      </c>
      <c r="G6" s="1"/>
      <c r="H6" s="1"/>
      <c r="I6" s="1"/>
    </row>
    <row r="7" spans="1:10">
      <c r="A7" s="1"/>
      <c r="C7" s="1"/>
      <c r="D7" s="1"/>
      <c r="E7" s="1"/>
      <c r="F7" s="1"/>
      <c r="I7" s="1"/>
    </row>
    <row r="8" spans="1:10">
      <c r="A8" t="s">
        <v>105</v>
      </c>
      <c r="B8" s="4"/>
      <c r="C8" s="1"/>
      <c r="D8" s="1"/>
      <c r="E8" s="1"/>
      <c r="F8" s="1"/>
      <c r="I8" s="1"/>
    </row>
    <row r="9" spans="1:10">
      <c r="A9" s="1" t="s">
        <v>106</v>
      </c>
      <c r="C9" s="24"/>
      <c r="D9" s="1"/>
      <c r="E9" s="1"/>
      <c r="F9" s="1"/>
      <c r="I9" s="1"/>
    </row>
    <row r="10" ht="34" spans="1:10">
      <c r="A10" s="25" t="s">
        <v>107</v>
      </c>
      <c r="B10" s="14" t="s">
        <v>108</v>
      </c>
      <c r="C10" s="25" t="s">
        <v>109</v>
      </c>
      <c r="D10" s="25" t="s">
        <v>110</v>
      </c>
      <c r="E10" s="25" t="s">
        <v>111</v>
      </c>
      <c r="F10" s="25" t="s">
        <v>112</v>
      </c>
      <c r="G10" s="14" t="s">
        <v>113</v>
      </c>
      <c r="H10" s="14" t="s">
        <v>114</v>
      </c>
      <c r="I10" s="25" t="s">
        <v>115</v>
      </c>
      <c r="J10" s="25" t="s">
        <v>116</v>
      </c>
    </row>
    <row r="11" ht="17.6" spans="1:10">
      <c r="A11" s="26">
        <v>46036.6666666667</v>
      </c>
      <c r="B11" s="27">
        <v>50000000</v>
      </c>
      <c r="C11" s="28">
        <v>6</v>
      </c>
      <c r="D11" s="27" t="s">
        <v>117</v>
      </c>
      <c r="E11" s="27">
        <v>0.0005</v>
      </c>
      <c r="F11" s="27">
        <v>15000000</v>
      </c>
      <c r="G11" s="29">
        <v>0.03</v>
      </c>
      <c r="H11" s="29">
        <v>0</v>
      </c>
      <c r="I11" s="27">
        <v>0</v>
      </c>
      <c r="J11" s="30">
        <v>0</v>
      </c>
    </row>
    <row r="12" ht="17.6" spans="1:10">
      <c r="A12" s="26">
        <v>46036.6666666667</v>
      </c>
      <c r="B12" s="27">
        <v>30000000</v>
      </c>
      <c r="C12" s="28">
        <v>0</v>
      </c>
      <c r="D12" s="27" t="s">
        <v>110</v>
      </c>
      <c r="E12" s="27">
        <v>0</v>
      </c>
      <c r="F12" s="27">
        <v>0</v>
      </c>
      <c r="G12" s="29">
        <v>0</v>
      </c>
      <c r="H12" s="29">
        <v>0</v>
      </c>
      <c r="I12" s="27">
        <v>50000</v>
      </c>
      <c r="J12" s="30" t="e">
        <v>#N/A</v>
      </c>
    </row>
    <row r="13" spans="1:10">
      <c r="A13" s="31"/>
      <c r="B13" s="27"/>
      <c r="C13" s="28"/>
      <c r="D13" s="27"/>
      <c r="E13" s="27"/>
      <c r="F13" s="27"/>
      <c r="G13" s="29"/>
      <c r="H13" s="29"/>
      <c r="I13" s="27"/>
      <c r="J13" s="30"/>
    </row>
    <row r="14" spans="1:10">
      <c r="A14" s="31"/>
      <c r="B14" s="27"/>
      <c r="C14" s="28"/>
      <c r="D14" s="27"/>
      <c r="E14" s="27"/>
      <c r="F14" s="27"/>
      <c r="G14" s="29"/>
      <c r="H14" s="29"/>
      <c r="I14" s="27"/>
      <c r="J14" s="30"/>
    </row>
    <row r="15" spans="1:10">
      <c r="A15" s="32"/>
      <c r="B15" s="1"/>
      <c r="C15" s="1"/>
      <c r="D15" s="1"/>
      <c r="E15" s="1"/>
      <c r="F15" s="1"/>
      <c r="I15" s="1"/>
    </row>
    <row r="16" spans="1:10">
      <c r="A16" s="32"/>
      <c r="B16" s="4"/>
      <c r="C16" s="4"/>
      <c r="D16" s="4"/>
      <c r="E16" s="1"/>
      <c r="F16" s="1"/>
      <c r="I16" s="1"/>
    </row>
    <row r="17" spans="1:15">
      <c r="A17" s="32"/>
      <c r="B17" s="4"/>
      <c r="C17" s="4"/>
      <c r="D17" s="4"/>
      <c r="E17" s="1"/>
      <c r="F17" s="1"/>
      <c r="I17" s="1"/>
    </row>
    <row r="18" spans="1:15">
      <c r="A18" s="32"/>
      <c r="B18" s="4"/>
      <c r="C18" s="4"/>
      <c r="D18" s="4"/>
      <c r="E18" s="1"/>
      <c r="F18" s="1"/>
      <c r="I18" s="1"/>
    </row>
    <row r="19" spans="1:15">
      <c r="A19" s="32"/>
      <c r="B19" s="1"/>
      <c r="C19" s="1"/>
      <c r="D19" s="1"/>
      <c r="E19" s="1"/>
      <c r="F19" s="1"/>
      <c r="I19" s="1"/>
    </row>
    <row r="20" ht="20.4" spans="1:15">
      <c r="A20" s="33" t="s">
        <v>32</v>
      </c>
      <c r="B20" s="7"/>
      <c r="C20" s="1"/>
      <c r="D20" s="1"/>
      <c r="E20" s="1"/>
      <c r="F20" s="1"/>
      <c r="I20" s="1"/>
    </row>
    <row r="21" s="18" customFormat="1" spans="1:15">
      <c r="A21" s="34" t="s">
        <v>34</v>
      </c>
      <c r="B21" s="35">
        <f>IRR(C28:C42)*50000000</f>
        <v>-3896048.19581888</v>
      </c>
      <c r="C21" s="36" t="s">
        <v>35</v>
      </c>
      <c r="D21" s="37" t="e">
        <f>XIRR(C28:C42,B28:B42)</f>
        <v>#VALUE!</v>
      </c>
      <c r="E21" s="38" t="s">
        <v>118</v>
      </c>
      <c r="F21" s="37">
        <f>'1租金测算表V1'!D16</f>
        <v>0.0354046231796084</v>
      </c>
      <c r="G21" s="39" t="s">
        <v>119</v>
      </c>
      <c r="H21" s="37" t="e">
        <f>D21-F21</f>
        <v>#VALUE!</v>
      </c>
      <c r="I21"/>
      <c r="J21"/>
      <c r="K21"/>
      <c r="L21"/>
      <c r="M21"/>
      <c r="N21"/>
      <c r="O21"/>
    </row>
    <row r="22" spans="1:15">
      <c r="A22" s="34" t="s">
        <v>37</v>
      </c>
      <c r="B22" s="40">
        <f>IRR(E28:E42)*50000000</f>
        <v>-3896048.19581888</v>
      </c>
      <c r="C22" s="36" t="s">
        <v>120</v>
      </c>
      <c r="D22" s="37" t="e">
        <f>XIRR(E28:E42,B28:B42)</f>
        <v>#VALUE!</v>
      </c>
      <c r="E22" s="36" t="s">
        <v>121</v>
      </c>
      <c r="F22" s="37">
        <f>'1租金测算表V1'!D17</f>
        <v>0.0358004326926924</v>
      </c>
      <c r="G22" s="36" t="s">
        <v>119</v>
      </c>
      <c r="H22" s="37" t="e">
        <f>D22-F22</f>
        <v>#VALUE!</v>
      </c>
      <c r="I22" s="41"/>
      <c r="J22" s="41"/>
      <c r="K22" s="41"/>
      <c r="L22" s="41"/>
    </row>
    <row r="23" spans="1:15">
      <c r="A23" s="34"/>
      <c r="B23" s="36"/>
      <c r="C23" s="36" t="s">
        <v>122</v>
      </c>
      <c r="D23" s="37" t="e">
        <f>D21-D22</f>
        <v>#VALUE!</v>
      </c>
      <c r="E23" s="36" t="s">
        <v>123</v>
      </c>
      <c r="F23" s="37">
        <f>F21-F22</f>
        <v>-0.000395809513084044</v>
      </c>
      <c r="G23" s="39"/>
      <c r="H23" s="39"/>
    </row>
    <row r="26" ht="23.2" spans="1:15">
      <c r="A26" s="42" t="s">
        <v>58</v>
      </c>
    </row>
    <row r="27" ht="71" spans="1:15">
      <c r="A27" s="43" t="s">
        <v>44</v>
      </c>
      <c r="B27" s="43" t="s">
        <v>59</v>
      </c>
      <c r="C27" s="43" t="s">
        <v>124</v>
      </c>
      <c r="D27" s="43" t="s">
        <v>61</v>
      </c>
      <c r="E27" s="43" t="s">
        <v>125</v>
      </c>
      <c r="F27" s="43" t="s">
        <v>63</v>
      </c>
      <c r="G27" s="43" t="s">
        <v>64</v>
      </c>
      <c r="H27" s="43" t="s">
        <v>126</v>
      </c>
      <c r="I27" s="43" t="s">
        <v>127</v>
      </c>
      <c r="J27" s="43" t="s">
        <v>128</v>
      </c>
      <c r="K27" s="43" t="s">
        <v>129</v>
      </c>
      <c r="L27" s="43" t="s">
        <v>130</v>
      </c>
      <c r="M27" s="43" t="s">
        <v>131</v>
      </c>
      <c r="N27" s="43" t="s">
        <v>132</v>
      </c>
      <c r="O27" s="43" t="s">
        <v>133</v>
      </c>
    </row>
    <row r="28" ht="34" spans="1:15">
      <c r="A28" s="44" t="str">
        <f>"0-0"</f>
        <v>0-0</v>
      </c>
      <c r="B28" s="45">
        <v>46036.6666666667</v>
      </c>
      <c r="C28" s="46">
        <f t="shared" ref="C28:C42" si="0">SUM(H28:O28)</f>
        <v>-15025000</v>
      </c>
      <c r="D28" s="44" t="s">
        <v>134</v>
      </c>
      <c r="E28" s="46">
        <f t="shared" ref="E28:E42" si="1">SUM(H28:O28)</f>
        <v>-15025000</v>
      </c>
      <c r="F28" s="44" t="s">
        <v>134</v>
      </c>
      <c r="G28" s="46"/>
      <c r="H28" s="46">
        <v>-15000000</v>
      </c>
      <c r="I28" s="46"/>
      <c r="J28" s="46">
        <v>-25000</v>
      </c>
      <c r="K28" s="46"/>
      <c r="L28" s="46">
        <v>0</v>
      </c>
      <c r="M28" s="46"/>
      <c r="N28" s="46"/>
      <c r="O28" s="46"/>
    </row>
    <row r="29" ht="34" spans="1:15">
      <c r="A29" s="44" t="str">
        <f>"0-0"</f>
        <v>0-0</v>
      </c>
      <c r="B29" s="45">
        <f>EDATE(B28,6)</f>
        <v>46217</v>
      </c>
      <c r="C29" s="46">
        <f t="shared" si="0"/>
        <v>-33500000</v>
      </c>
      <c r="D29" s="44" t="s">
        <v>135</v>
      </c>
      <c r="E29" s="46">
        <f t="shared" si="1"/>
        <v>-33500000</v>
      </c>
      <c r="F29" s="44" t="s">
        <v>135</v>
      </c>
      <c r="G29" s="46"/>
      <c r="H29" s="46"/>
      <c r="I29" s="46">
        <v>-35000000</v>
      </c>
      <c r="J29" s="46"/>
      <c r="K29" s="46">
        <v>1500000</v>
      </c>
      <c r="L29" s="46"/>
      <c r="M29" s="46"/>
      <c r="N29" s="46"/>
      <c r="O29" s="46"/>
    </row>
    <row r="30" ht="34" spans="1:15">
      <c r="A30" s="44" t="str">
        <f>"0-1"</f>
        <v>0-1</v>
      </c>
      <c r="B30" s="45">
        <v>46036.6666666667</v>
      </c>
      <c r="C30" s="46">
        <f t="shared" si="0"/>
        <v>-2146776246</v>
      </c>
      <c r="D30" s="44" t="s">
        <v>136</v>
      </c>
      <c r="E30" s="46">
        <f t="shared" si="1"/>
        <v>-2146776246</v>
      </c>
      <c r="F30" s="44" t="s">
        <v>136</v>
      </c>
      <c r="G30" s="46">
        <f>-30000000</f>
        <v>-30000000</v>
      </c>
      <c r="H30" s="46"/>
      <c r="I30" s="46"/>
      <c r="J30" s="46"/>
      <c r="K30" s="46"/>
      <c r="L30" s="46">
        <v>50000</v>
      </c>
      <c r="M30" s="46"/>
      <c r="N30" s="46"/>
      <c r="O30" s="46">
        <v>-2146826246</v>
      </c>
    </row>
    <row r="31" ht="17" spans="1:15">
      <c r="A31" s="44">
        <v>1</v>
      </c>
      <c r="B31" s="45">
        <v>46341</v>
      </c>
      <c r="C31" s="46">
        <f t="shared" si="0"/>
        <v>57155555.56</v>
      </c>
      <c r="D31" s="44" t="s">
        <v>137</v>
      </c>
      <c r="E31" s="46">
        <f t="shared" si="1"/>
        <v>57155555.56</v>
      </c>
      <c r="F31" s="44" t="s">
        <v>137</v>
      </c>
      <c r="G31" s="46"/>
      <c r="H31" s="46"/>
      <c r="I31" s="46"/>
      <c r="J31" s="46"/>
      <c r="K31" s="46"/>
      <c r="L31" s="46">
        <v>0</v>
      </c>
      <c r="M31" s="46">
        <v>57155555.56</v>
      </c>
      <c r="N31" s="46">
        <v>0</v>
      </c>
      <c r="O31" s="46"/>
    </row>
    <row r="32" ht="17" spans="1:15">
      <c r="A32" s="44">
        <v>2</v>
      </c>
      <c r="B32" s="45">
        <v>46522</v>
      </c>
      <c r="C32" s="46">
        <f t="shared" si="0"/>
        <v>56193055.56</v>
      </c>
      <c r="D32" s="44" t="s">
        <v>138</v>
      </c>
      <c r="E32" s="46">
        <f t="shared" si="1"/>
        <v>56193055.56</v>
      </c>
      <c r="F32" s="44" t="s">
        <v>138</v>
      </c>
      <c r="G32" s="46"/>
      <c r="H32" s="46"/>
      <c r="I32" s="46"/>
      <c r="J32" s="46"/>
      <c r="K32" s="46"/>
      <c r="L32" s="46">
        <v>0</v>
      </c>
      <c r="M32" s="46">
        <v>56193055.56</v>
      </c>
      <c r="N32" s="46">
        <v>0</v>
      </c>
      <c r="O32" s="46"/>
    </row>
    <row r="33" ht="17" spans="1:15">
      <c r="A33" s="44">
        <v>3</v>
      </c>
      <c r="B33" s="45">
        <v>46706</v>
      </c>
      <c r="C33" s="46">
        <f t="shared" si="0"/>
        <v>55366666.67</v>
      </c>
      <c r="D33" s="44" t="s">
        <v>139</v>
      </c>
      <c r="E33" s="46">
        <f t="shared" si="1"/>
        <v>55366666.67</v>
      </c>
      <c r="F33" s="44" t="s">
        <v>139</v>
      </c>
      <c r="G33" s="46"/>
      <c r="H33" s="46"/>
      <c r="I33" s="46"/>
      <c r="J33" s="46"/>
      <c r="K33" s="46"/>
      <c r="L33" s="46">
        <v>0</v>
      </c>
      <c r="M33" s="46">
        <v>55366666.67</v>
      </c>
      <c r="N33" s="46">
        <v>0</v>
      </c>
      <c r="O33" s="46"/>
    </row>
    <row r="34" ht="17" spans="1:15">
      <c r="A34" s="44">
        <v>4</v>
      </c>
      <c r="B34" s="45">
        <v>46888</v>
      </c>
      <c r="C34" s="46">
        <f t="shared" si="0"/>
        <v>54399305.56</v>
      </c>
      <c r="D34" s="44" t="s">
        <v>140</v>
      </c>
      <c r="E34" s="46">
        <f t="shared" si="1"/>
        <v>54399305.56</v>
      </c>
      <c r="F34" s="44" t="s">
        <v>140</v>
      </c>
      <c r="G34" s="46"/>
      <c r="H34" s="46"/>
      <c r="I34" s="46"/>
      <c r="J34" s="46"/>
      <c r="K34" s="46"/>
      <c r="L34" s="46">
        <v>0</v>
      </c>
      <c r="M34" s="46">
        <v>54399305.56</v>
      </c>
      <c r="N34" s="46">
        <v>0</v>
      </c>
      <c r="O34" s="46"/>
    </row>
    <row r="35" ht="17" spans="1:15">
      <c r="A35" s="44">
        <v>5</v>
      </c>
      <c r="B35" s="45">
        <v>47072</v>
      </c>
      <c r="C35" s="46">
        <f t="shared" si="0"/>
        <v>53577777.78</v>
      </c>
      <c r="D35" s="44" t="s">
        <v>141</v>
      </c>
      <c r="E35" s="46">
        <f t="shared" si="1"/>
        <v>53577777.78</v>
      </c>
      <c r="F35" s="44" t="s">
        <v>141</v>
      </c>
      <c r="G35" s="46"/>
      <c r="H35" s="46"/>
      <c r="I35" s="46"/>
      <c r="J35" s="46"/>
      <c r="K35" s="46"/>
      <c r="L35" s="46">
        <v>0</v>
      </c>
      <c r="M35" s="46">
        <v>53577777.78</v>
      </c>
      <c r="N35" s="46">
        <v>0</v>
      </c>
      <c r="O35" s="46"/>
    </row>
    <row r="36" ht="17" spans="1:15">
      <c r="A36" s="44">
        <v>6</v>
      </c>
      <c r="B36" s="45">
        <v>47253</v>
      </c>
      <c r="C36" s="46">
        <f t="shared" si="0"/>
        <v>52639583.33</v>
      </c>
      <c r="D36" s="44" t="s">
        <v>142</v>
      </c>
      <c r="E36" s="46">
        <f t="shared" si="1"/>
        <v>52639583.33</v>
      </c>
      <c r="F36" s="44" t="s">
        <v>142</v>
      </c>
      <c r="G36" s="46"/>
      <c r="H36" s="46"/>
      <c r="I36" s="46"/>
      <c r="J36" s="46"/>
      <c r="K36" s="46"/>
      <c r="L36" s="46">
        <v>0</v>
      </c>
      <c r="M36" s="46">
        <v>52639583.33</v>
      </c>
      <c r="N36" s="46">
        <v>0</v>
      </c>
      <c r="O36" s="46"/>
    </row>
    <row r="37" ht="17" spans="1:15">
      <c r="A37" s="44">
        <v>7</v>
      </c>
      <c r="B37" s="45">
        <v>47437</v>
      </c>
      <c r="C37" s="46">
        <f t="shared" si="0"/>
        <v>51788888.89</v>
      </c>
      <c r="D37" s="44" t="s">
        <v>143</v>
      </c>
      <c r="E37" s="46">
        <f t="shared" si="1"/>
        <v>51788888.89</v>
      </c>
      <c r="F37" s="44" t="s">
        <v>143</v>
      </c>
      <c r="G37" s="46"/>
      <c r="H37" s="46"/>
      <c r="I37" s="46"/>
      <c r="J37" s="46"/>
      <c r="K37" s="46"/>
      <c r="L37" s="46">
        <v>0</v>
      </c>
      <c r="M37" s="46">
        <v>51788888.89</v>
      </c>
      <c r="N37" s="46">
        <v>0</v>
      </c>
      <c r="O37" s="46"/>
    </row>
    <row r="38" ht="17" spans="1:15">
      <c r="A38" s="44">
        <v>8</v>
      </c>
      <c r="B38" s="45">
        <v>47618</v>
      </c>
      <c r="C38" s="46">
        <f t="shared" si="0"/>
        <v>50879862.11</v>
      </c>
      <c r="D38" s="44" t="s">
        <v>144</v>
      </c>
      <c r="E38" s="46">
        <f t="shared" si="1"/>
        <v>50879862.11</v>
      </c>
      <c r="F38" s="44" t="s">
        <v>144</v>
      </c>
      <c r="G38" s="46"/>
      <c r="H38" s="46"/>
      <c r="I38" s="46"/>
      <c r="J38" s="46"/>
      <c r="K38" s="46"/>
      <c r="L38" s="46">
        <v>0</v>
      </c>
      <c r="M38" s="46">
        <v>50879862.11</v>
      </c>
      <c r="N38" s="46">
        <v>0</v>
      </c>
      <c r="O38" s="46"/>
    </row>
    <row r="39" ht="17" spans="1:15">
      <c r="A39" s="44">
        <v>9</v>
      </c>
      <c r="B39" s="45">
        <v>47802</v>
      </c>
      <c r="C39" s="46">
        <f t="shared" si="0"/>
        <v>51788888.89</v>
      </c>
      <c r="D39" s="44" t="s">
        <v>145</v>
      </c>
      <c r="E39" s="46">
        <f t="shared" si="1"/>
        <v>51788888.89</v>
      </c>
      <c r="F39" s="44" t="s">
        <v>145</v>
      </c>
      <c r="G39" s="46"/>
      <c r="H39" s="46"/>
      <c r="I39" s="46"/>
      <c r="J39" s="46"/>
      <c r="K39" s="46"/>
      <c r="L39" s="46">
        <v>0</v>
      </c>
      <c r="M39" s="46">
        <v>51788888.89</v>
      </c>
      <c r="N39" s="46">
        <v>0</v>
      </c>
      <c r="O39" s="46"/>
    </row>
    <row r="40" ht="17" spans="1:15">
      <c r="A40" s="44">
        <v>10</v>
      </c>
      <c r="B40" s="45">
        <v>47983</v>
      </c>
      <c r="C40" s="46">
        <f t="shared" si="0"/>
        <v>50879861.11</v>
      </c>
      <c r="D40" s="44" t="s">
        <v>146</v>
      </c>
      <c r="E40" s="46">
        <f t="shared" si="1"/>
        <v>50879861.11</v>
      </c>
      <c r="F40" s="44" t="s">
        <v>146</v>
      </c>
      <c r="G40" s="46"/>
      <c r="H40" s="46"/>
      <c r="I40" s="46"/>
      <c r="J40" s="46"/>
      <c r="K40" s="46"/>
      <c r="L40" s="46">
        <v>0</v>
      </c>
      <c r="M40" s="46">
        <v>50879861.11</v>
      </c>
      <c r="N40" s="46">
        <v>0</v>
      </c>
      <c r="O40" s="46"/>
    </row>
    <row r="41" ht="17" spans="1:15">
      <c r="A41" s="44">
        <v>11</v>
      </c>
      <c r="B41" s="45" t="s">
        <v>57</v>
      </c>
      <c r="C41" s="46">
        <f t="shared" si="0"/>
        <v>548863888.9</v>
      </c>
      <c r="D41" s="44" t="s">
        <v>147</v>
      </c>
      <c r="E41" s="46">
        <f t="shared" si="1"/>
        <v>548863888.9</v>
      </c>
      <c r="F41" s="44" t="s">
        <v>147</v>
      </c>
      <c r="G41" s="46"/>
      <c r="H41" s="46"/>
      <c r="I41" s="46"/>
      <c r="J41" s="46"/>
      <c r="K41" s="46"/>
      <c r="L41" s="46">
        <v>0</v>
      </c>
      <c r="M41" s="46">
        <v>548863888.9</v>
      </c>
      <c r="N41" s="46">
        <v>0</v>
      </c>
      <c r="O41" s="46"/>
    </row>
    <row r="42" ht="17" spans="1:15">
      <c r="A42" s="44">
        <v>12</v>
      </c>
      <c r="B42" s="45"/>
      <c r="C42" s="46">
        <f t="shared" si="0"/>
        <v>1</v>
      </c>
      <c r="D42" s="44" t="s">
        <v>148</v>
      </c>
      <c r="E42" s="46">
        <f t="shared" si="1"/>
        <v>1</v>
      </c>
      <c r="F42" s="44" t="s">
        <v>148</v>
      </c>
      <c r="G42" s="46"/>
      <c r="H42" s="46"/>
      <c r="I42" s="46"/>
      <c r="J42" s="46"/>
      <c r="K42" s="46"/>
      <c r="L42" s="46">
        <v>0</v>
      </c>
      <c r="M42" s="46">
        <v>1</v>
      </c>
      <c r="N42" s="46">
        <v>0</v>
      </c>
      <c r="O42" s="46"/>
    </row>
  </sheetData>
  <sortState ref="A44:L58">
    <sortCondition ref="B44:B58"/>
  </sortState>
  <dataValidations count="1">
    <dataValidation type="list" allowBlank="1" showInputMessage="1" showErrorMessage="1" sqref="D11:D14">
      <formula1>"银行承兑汇票,电汇"</formula1>
    </dataValidation>
  </dataValidations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L17"/>
  <sheetViews>
    <sheetView workbookViewId="0">
      <selection activeCell="C16" sqref="C16"/>
    </sheetView>
  </sheetViews>
  <sheetFormatPr defaultColWidth="9" defaultRowHeight="16.8"/>
  <cols>
    <col min="1" max="1" width="27.6517857142857" customWidth="1"/>
    <col min="2" max="2" width="11.3482142857143" customWidth="1"/>
    <col min="3" max="3" width="19.4642857142857"/>
    <col min="4" max="4" width="30.4642857142857" customWidth="1"/>
    <col min="5" max="5" width="14.4642857142857"/>
    <col min="6" max="6" width="13.3482142857143"/>
    <col min="7" max="7" width="14.4642857142857"/>
    <col min="8" max="8" width="16.1160714285714" customWidth="1"/>
    <col min="9" max="9" width="14"/>
    <col min="10" max="10" width="12.2321428571429"/>
    <col min="12" max="12" width="12.2321428571429"/>
  </cols>
  <sheetData>
    <row r="1" ht="34" spans="1:12">
      <c r="A1" s="14" t="s">
        <v>44</v>
      </c>
      <c r="B1" s="14" t="s">
        <v>59</v>
      </c>
      <c r="C1" s="14" t="s">
        <v>149</v>
      </c>
      <c r="D1" s="14" t="s">
        <v>150</v>
      </c>
      <c r="E1" s="14" t="s">
        <v>151</v>
      </c>
      <c r="F1" s="14" t="s">
        <v>152</v>
      </c>
      <c r="G1" s="14" t="s">
        <v>153</v>
      </c>
      <c r="H1" s="14" t="s">
        <v>154</v>
      </c>
      <c r="I1" s="14" t="s">
        <v>155</v>
      </c>
      <c r="J1" s="14" t="s">
        <v>156</v>
      </c>
      <c r="K1" s="14" t="s">
        <v>157</v>
      </c>
      <c r="L1" s="14" t="s">
        <v>46</v>
      </c>
    </row>
    <row r="2" spans="1:12">
      <c r="A2" s="15" t="s">
        <v>158</v>
      </c>
      <c r="B2" s="16">
        <v>44757</v>
      </c>
      <c r="C2" s="17">
        <v>-27701000</v>
      </c>
      <c r="D2" s="15" t="s">
        <v>159</v>
      </c>
      <c r="E2" s="17">
        <v>-24000000</v>
      </c>
      <c r="F2" s="17">
        <v>-4800000</v>
      </c>
      <c r="G2" s="17">
        <v>0</v>
      </c>
      <c r="H2" s="17">
        <v>-21000</v>
      </c>
      <c r="I2" s="17">
        <v>0</v>
      </c>
      <c r="J2" s="17">
        <v>1120000</v>
      </c>
      <c r="K2" s="17">
        <v>0</v>
      </c>
      <c r="L2" s="17">
        <v>0</v>
      </c>
    </row>
    <row r="3" spans="1:12">
      <c r="A3" s="15" t="s">
        <v>160</v>
      </c>
      <c r="B3" s="16">
        <v>44941</v>
      </c>
      <c r="C3" s="17">
        <v>-1208586.66666667</v>
      </c>
      <c r="D3" s="15" t="s">
        <v>161</v>
      </c>
      <c r="E3" s="17"/>
      <c r="F3" s="17"/>
      <c r="G3" s="17">
        <v>-1200000</v>
      </c>
      <c r="H3" s="17"/>
      <c r="I3" s="17">
        <v>-8586.66666666667</v>
      </c>
      <c r="J3" s="17"/>
      <c r="K3" s="17"/>
      <c r="L3" s="17"/>
    </row>
    <row r="4" spans="1:12">
      <c r="A4" s="15" t="s">
        <v>162</v>
      </c>
      <c r="B4" s="16">
        <v>44880</v>
      </c>
      <c r="C4" s="17">
        <v>-5087500</v>
      </c>
      <c r="D4" s="15" t="s">
        <v>163</v>
      </c>
      <c r="E4" s="17"/>
      <c r="F4" s="17">
        <v>-5000000</v>
      </c>
      <c r="G4" s="17"/>
      <c r="H4" s="17">
        <v>-87500</v>
      </c>
      <c r="I4" s="17"/>
      <c r="J4" s="17"/>
      <c r="K4" s="17"/>
      <c r="L4" s="17"/>
    </row>
    <row r="5" spans="1:12">
      <c r="A5" s="15" t="s">
        <v>164</v>
      </c>
      <c r="B5" s="16">
        <v>45061</v>
      </c>
      <c r="C5" s="17">
        <v>-11195616.1311111</v>
      </c>
      <c r="D5" s="15" t="s">
        <v>165</v>
      </c>
      <c r="E5" s="17">
        <v>0</v>
      </c>
      <c r="F5" s="17">
        <v>0</v>
      </c>
      <c r="G5" s="17">
        <v>-20000000</v>
      </c>
      <c r="H5" s="17">
        <v>0</v>
      </c>
      <c r="I5" s="17">
        <v>-8798.61111111111</v>
      </c>
      <c r="J5" s="17">
        <v>0</v>
      </c>
      <c r="K5" s="17">
        <v>0</v>
      </c>
      <c r="L5" s="17">
        <v>8813182.48</v>
      </c>
    </row>
    <row r="6" spans="1:12">
      <c r="A6" s="15">
        <v>2</v>
      </c>
      <c r="B6" s="16">
        <v>45245</v>
      </c>
      <c r="C6" s="17">
        <v>8813182.48</v>
      </c>
      <c r="D6" s="15" t="s">
        <v>138</v>
      </c>
      <c r="E6" s="17"/>
      <c r="F6" s="17"/>
      <c r="G6" s="17"/>
      <c r="H6" s="17"/>
      <c r="I6" s="17"/>
      <c r="J6" s="17"/>
      <c r="K6" s="17"/>
      <c r="L6" s="17">
        <v>8813182.48</v>
      </c>
    </row>
    <row r="7" spans="1:12">
      <c r="A7" s="15">
        <v>3</v>
      </c>
      <c r="B7" s="16">
        <v>45427</v>
      </c>
      <c r="C7" s="17">
        <v>8813182.48</v>
      </c>
      <c r="D7" s="15" t="s">
        <v>139</v>
      </c>
      <c r="E7" s="17"/>
      <c r="F7" s="17"/>
      <c r="G7" s="17"/>
      <c r="H7" s="17"/>
      <c r="I7" s="17"/>
      <c r="J7" s="17"/>
      <c r="K7" s="17"/>
      <c r="L7" s="17">
        <v>8813182.48</v>
      </c>
    </row>
    <row r="8" spans="1:12">
      <c r="A8" s="15">
        <v>4</v>
      </c>
      <c r="B8" s="16">
        <v>45611</v>
      </c>
      <c r="C8" s="17">
        <v>8813182.48</v>
      </c>
      <c r="D8" s="15" t="s">
        <v>140</v>
      </c>
      <c r="E8" s="17"/>
      <c r="F8" s="17"/>
      <c r="G8" s="17"/>
      <c r="H8" s="17"/>
      <c r="I8" s="17"/>
      <c r="J8" s="17"/>
      <c r="K8" s="17"/>
      <c r="L8" s="17">
        <v>8813182.48</v>
      </c>
    </row>
    <row r="9" spans="1:12">
      <c r="A9" s="15">
        <v>5</v>
      </c>
      <c r="B9" s="16">
        <v>45792</v>
      </c>
      <c r="C9" s="17">
        <v>8813182.48</v>
      </c>
      <c r="D9" s="15" t="s">
        <v>141</v>
      </c>
      <c r="E9" s="17"/>
      <c r="F9" s="17"/>
      <c r="G9" s="17"/>
      <c r="H9" s="17"/>
      <c r="I9" s="17"/>
      <c r="J9" s="17"/>
      <c r="K9" s="17"/>
      <c r="L9" s="17">
        <v>8813182.48</v>
      </c>
    </row>
    <row r="10" spans="1:12">
      <c r="A10" s="15">
        <v>6</v>
      </c>
      <c r="B10" s="16">
        <v>45976</v>
      </c>
      <c r="C10" s="17">
        <v>8813182.48</v>
      </c>
      <c r="D10" s="15" t="s">
        <v>142</v>
      </c>
      <c r="E10" s="17"/>
      <c r="F10" s="17"/>
      <c r="G10" s="17"/>
      <c r="H10" s="17"/>
      <c r="I10" s="17"/>
      <c r="J10" s="17"/>
      <c r="K10" s="17"/>
      <c r="L10" s="17">
        <v>8813182.48</v>
      </c>
    </row>
    <row r="11" spans="1:12">
      <c r="A11" s="15">
        <v>7</v>
      </c>
      <c r="B11" s="16">
        <v>46157</v>
      </c>
      <c r="C11" s="17">
        <v>8813182.48</v>
      </c>
      <c r="D11" s="15" t="s">
        <v>143</v>
      </c>
      <c r="E11" s="17"/>
      <c r="F11" s="17"/>
      <c r="G11" s="17"/>
      <c r="H11" s="17"/>
      <c r="I11" s="17"/>
      <c r="J11" s="17"/>
      <c r="K11" s="17"/>
      <c r="L11" s="17">
        <v>8813182.48</v>
      </c>
    </row>
    <row r="12" spans="1:12">
      <c r="A12" s="15">
        <v>8</v>
      </c>
      <c r="B12" s="16">
        <v>46341</v>
      </c>
      <c r="C12" s="17">
        <v>8813182.48</v>
      </c>
      <c r="D12" s="15" t="s">
        <v>144</v>
      </c>
      <c r="E12" s="17"/>
      <c r="F12" s="17"/>
      <c r="G12" s="17"/>
      <c r="H12" s="17"/>
      <c r="I12" s="17"/>
      <c r="J12" s="17"/>
      <c r="K12" s="17"/>
      <c r="L12" s="17">
        <v>8813182.48</v>
      </c>
    </row>
    <row r="13" spans="1:12">
      <c r="A13" s="15">
        <v>9</v>
      </c>
      <c r="B13" s="16">
        <v>46522</v>
      </c>
      <c r="C13" s="17">
        <v>8813182.48</v>
      </c>
      <c r="D13" s="15" t="s">
        <v>145</v>
      </c>
      <c r="E13" s="17"/>
      <c r="F13" s="17"/>
      <c r="G13" s="17"/>
      <c r="H13" s="17"/>
      <c r="I13" s="17"/>
      <c r="J13" s="17"/>
      <c r="K13" s="17"/>
      <c r="L13" s="17">
        <v>8813182.48</v>
      </c>
    </row>
    <row r="14" spans="1:12">
      <c r="A14" s="15" t="s">
        <v>166</v>
      </c>
      <c r="B14" s="16">
        <v>46706</v>
      </c>
      <c r="C14" s="17">
        <v>8813182.48</v>
      </c>
      <c r="D14" s="15" t="s">
        <v>167</v>
      </c>
      <c r="E14" s="17">
        <v>0</v>
      </c>
      <c r="F14" s="17">
        <v>0</v>
      </c>
      <c r="G14" s="17">
        <v>0</v>
      </c>
      <c r="H14" s="17">
        <v>0</v>
      </c>
      <c r="I14" s="17">
        <v>0</v>
      </c>
      <c r="J14" s="17">
        <v>0</v>
      </c>
      <c r="K14" s="17">
        <v>0</v>
      </c>
      <c r="L14" s="17">
        <v>8813182.48</v>
      </c>
    </row>
    <row r="15" spans="1:12">
      <c r="A15" s="15" t="s">
        <v>168</v>
      </c>
      <c r="B15" s="16"/>
      <c r="C15" s="17">
        <v>0</v>
      </c>
      <c r="D15" s="15" t="s">
        <v>168</v>
      </c>
      <c r="E15" s="17">
        <v>0</v>
      </c>
      <c r="F15" s="17">
        <v>0</v>
      </c>
      <c r="G15" s="17">
        <v>0</v>
      </c>
      <c r="H15" s="17">
        <v>0</v>
      </c>
      <c r="I15" s="17">
        <v>0</v>
      </c>
      <c r="J15" s="17">
        <v>0</v>
      </c>
      <c r="K15" s="17">
        <v>0</v>
      </c>
      <c r="L15" s="17">
        <v>0</v>
      </c>
    </row>
    <row r="16" spans="1:12">
      <c r="A16" s="15"/>
      <c r="B16" s="16"/>
      <c r="C16" s="17"/>
      <c r="D16" s="15"/>
      <c r="E16" s="17"/>
      <c r="F16" s="17"/>
      <c r="G16" s="17"/>
      <c r="H16" s="17"/>
      <c r="I16" s="17"/>
      <c r="J16" s="17"/>
      <c r="K16" s="17"/>
      <c r="L16" s="17"/>
    </row>
    <row r="17" spans="1:12">
      <c r="A17" s="15"/>
      <c r="B17" s="16"/>
      <c r="C17" s="17"/>
      <c r="D17" s="15"/>
      <c r="E17" s="17"/>
      <c r="F17" s="17"/>
      <c r="G17" s="17"/>
      <c r="H17" s="17"/>
      <c r="I17" s="17"/>
      <c r="J17" s="17"/>
      <c r="K17" s="17"/>
      <c r="L17" s="17"/>
    </row>
  </sheetData>
  <sortState ref="A2:L16">
    <sortCondition ref="B1"/>
  </sortState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H30"/>
  <sheetViews>
    <sheetView workbookViewId="0">
      <selection activeCell="B31" sqref="B31"/>
    </sheetView>
  </sheetViews>
  <sheetFormatPr defaultColWidth="9" defaultRowHeight="16.8" outlineLevelCol="7"/>
  <cols>
    <col min="1" max="1" width="16.1160714285714" customWidth="1"/>
    <col min="2" max="2" width="26" customWidth="1"/>
    <col min="3" max="3" width="11" customWidth="1"/>
    <col min="4" max="4" width="14" customWidth="1"/>
    <col min="7" max="7" width="16" customWidth="1"/>
    <col min="8" max="8" width="14.7589285714286" customWidth="1"/>
  </cols>
  <sheetData>
    <row r="1" spans="1:8">
      <c r="A1" t="s">
        <v>169</v>
      </c>
      <c r="G1" s="6" t="s">
        <v>170</v>
      </c>
      <c r="H1" s="6" t="s">
        <v>171</v>
      </c>
    </row>
    <row r="2" spans="1:8">
      <c r="A2" s="7" t="s">
        <v>172</v>
      </c>
      <c r="B2" t="s">
        <v>173</v>
      </c>
      <c r="C2" t="s">
        <v>174</v>
      </c>
      <c r="D2" t="s">
        <v>175</v>
      </c>
      <c r="G2" s="8">
        <f ca="1">H2-334</f>
        <v>45813</v>
      </c>
      <c r="H2" s="8">
        <f ca="1">TODAY()</f>
        <v>46147</v>
      </c>
    </row>
    <row r="3" spans="1:8">
      <c r="A3">
        <v>1</v>
      </c>
      <c r="B3" s="9" t="s">
        <v>24</v>
      </c>
      <c r="C3" s="10" t="s">
        <v>176</v>
      </c>
      <c r="D3" s="11" t="s">
        <v>177</v>
      </c>
      <c r="G3" s="6" t="str">
        <f ca="1">TEXT(G2,"yyyy-mm-dd")</f>
        <v>2025-06-05</v>
      </c>
      <c r="H3" s="6" t="str">
        <f ca="1">TEXT(H2,"yyyy-mm-dd")</f>
        <v>2026-05-05</v>
      </c>
    </row>
    <row r="4" spans="1:8">
      <c r="A4">
        <v>2</v>
      </c>
      <c r="B4" s="12" t="s">
        <v>178</v>
      </c>
      <c r="C4" s="10" t="s">
        <v>176</v>
      </c>
      <c r="D4" s="11" t="s">
        <v>177</v>
      </c>
    </row>
    <row r="5" spans="1:8">
      <c r="A5">
        <v>3</v>
      </c>
      <c r="B5" s="12" t="s">
        <v>179</v>
      </c>
      <c r="C5" s="10" t="s">
        <v>176</v>
      </c>
      <c r="D5" s="11" t="s">
        <v>177</v>
      </c>
    </row>
    <row r="6" spans="1:8">
      <c r="A6">
        <v>4</v>
      </c>
      <c r="B6" s="12" t="s">
        <v>180</v>
      </c>
      <c r="C6" s="10" t="s">
        <v>176</v>
      </c>
      <c r="D6" s="11" t="s">
        <v>177</v>
      </c>
    </row>
    <row r="7" spans="1:8">
      <c r="A7">
        <v>5</v>
      </c>
      <c r="B7" s="12" t="s">
        <v>181</v>
      </c>
      <c r="C7" s="11" t="s">
        <v>176</v>
      </c>
      <c r="D7" s="11" t="s">
        <v>177</v>
      </c>
    </row>
    <row r="8" spans="1:8">
      <c r="A8">
        <v>6</v>
      </c>
      <c r="B8" s="12" t="s">
        <v>182</v>
      </c>
      <c r="C8" s="11" t="s">
        <v>176</v>
      </c>
      <c r="D8" s="11" t="s">
        <v>177</v>
      </c>
    </row>
    <row r="9" spans="1:8">
      <c r="A9">
        <v>7</v>
      </c>
      <c r="B9" s="12" t="s">
        <v>183</v>
      </c>
      <c r="C9" s="11" t="s">
        <v>176</v>
      </c>
      <c r="D9" s="11" t="s">
        <v>177</v>
      </c>
    </row>
    <row r="10" spans="1:8">
      <c r="A10">
        <v>8</v>
      </c>
      <c r="B10" s="12" t="s">
        <v>184</v>
      </c>
      <c r="C10" s="11" t="s">
        <v>176</v>
      </c>
      <c r="D10" s="11" t="s">
        <v>177</v>
      </c>
    </row>
    <row r="11" spans="1:8">
      <c r="A11">
        <v>9</v>
      </c>
      <c r="B11" s="12" t="s">
        <v>185</v>
      </c>
      <c r="C11" s="11" t="s">
        <v>176</v>
      </c>
      <c r="D11" s="11" t="s">
        <v>177</v>
      </c>
    </row>
    <row r="12" spans="1:8">
      <c r="A12">
        <v>10</v>
      </c>
      <c r="B12" s="12" t="s">
        <v>186</v>
      </c>
      <c r="C12" s="11" t="s">
        <v>176</v>
      </c>
      <c r="D12" s="11" t="s">
        <v>177</v>
      </c>
    </row>
    <row r="13" spans="1:8">
      <c r="A13">
        <v>11</v>
      </c>
      <c r="B13" s="12" t="s">
        <v>187</v>
      </c>
      <c r="C13" s="11" t="s">
        <v>188</v>
      </c>
      <c r="D13" s="11" t="s">
        <v>189</v>
      </c>
    </row>
    <row r="14" spans="1:8">
      <c r="B14" s="7" t="s">
        <v>190</v>
      </c>
      <c r="C14" s="9" t="s">
        <v>188</v>
      </c>
      <c r="D14" s="9" t="s">
        <v>189</v>
      </c>
    </row>
    <row r="15" spans="1:8">
      <c r="B15" s="7"/>
    </row>
    <row r="16" spans="1:8">
      <c r="B16" s="7"/>
      <c r="C16" s="13"/>
      <c r="D16" s="13"/>
    </row>
    <row r="17" spans="2:4">
      <c r="B17" s="7"/>
      <c r="C17" s="13"/>
      <c r="D17" s="13"/>
    </row>
    <row r="18" spans="2:4">
      <c r="B18" s="7"/>
      <c r="C18" s="13"/>
      <c r="D18" s="13"/>
    </row>
    <row r="19" spans="2:4">
      <c r="B19" s="7"/>
      <c r="C19" s="13"/>
      <c r="D19" s="13"/>
    </row>
    <row r="20" spans="2:4">
      <c r="B20" s="7"/>
      <c r="C20" s="13"/>
      <c r="D20" s="13"/>
    </row>
    <row r="21" spans="2:4">
      <c r="B21" s="7"/>
      <c r="C21" s="13"/>
      <c r="D21" s="13"/>
    </row>
    <row r="22" spans="2:4">
      <c r="B22" s="7"/>
      <c r="C22" s="13"/>
      <c r="D22" s="13"/>
    </row>
    <row r="23" spans="2:4">
      <c r="B23" s="7"/>
      <c r="C23" s="13"/>
      <c r="D23" s="13"/>
    </row>
    <row r="24" spans="2:4">
      <c r="B24" s="7"/>
      <c r="C24" s="13"/>
      <c r="D24" s="13"/>
    </row>
    <row r="25" spans="2:4">
      <c r="B25" s="7"/>
      <c r="C25" s="13"/>
      <c r="D25" s="13"/>
    </row>
    <row r="26" spans="2:4">
      <c r="B26" s="7"/>
      <c r="C26" s="13"/>
      <c r="D26" s="13"/>
    </row>
    <row r="27" spans="2:4">
      <c r="B27" s="7"/>
      <c r="C27" s="13"/>
      <c r="D27" s="13"/>
    </row>
    <row r="28" spans="2:4">
      <c r="B28" s="7"/>
      <c r="C28" s="13"/>
      <c r="D28" s="13"/>
    </row>
    <row r="29" spans="2:4">
      <c r="B29" s="7"/>
      <c r="C29" s="13"/>
      <c r="D29" s="13"/>
    </row>
    <row r="30" spans="2:4">
      <c r="B30" s="7"/>
      <c r="C30" s="13"/>
      <c r="D30" s="13"/>
    </row>
  </sheetData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 moveWithCells="1" sizeWithCells="1">
                  <from>
                    <xdr:col>4</xdr:col>
                    <xdr:colOff>38100</xdr:colOff>
                    <xdr:row>0</xdr:row>
                    <xdr:rowOff>8255</xdr:rowOff>
                  </from>
                  <to>
                    <xdr:col>5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name="Button 2" r:id="rId4">
              <controlPr print="0" defaultSize="0">
                <anchor moveWithCells="1" sizeWithCells="1">
                  <from>
                    <xdr:col>6</xdr:col>
                    <xdr:colOff>38100</xdr:colOff>
                    <xdr:row>3</xdr:row>
                    <xdr:rowOff>84455</xdr:rowOff>
                  </from>
                  <to>
                    <xdr:col>8</xdr:col>
                    <xdr:colOff>76200</xdr:colOff>
                    <xdr:row>6</xdr:row>
                    <xdr:rowOff>97155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60"/>
  <sheetViews>
    <sheetView topLeftCell="A39" workbookViewId="0">
      <selection activeCell="B31" sqref="B31"/>
    </sheetView>
  </sheetViews>
  <sheetFormatPr defaultColWidth="9" defaultRowHeight="16.8"/>
  <sheetData>
    <row r="1" spans="1:1">
      <c r="A1" t="s">
        <v>191</v>
      </c>
    </row>
    <row r="2" spans="1:1">
      <c r="A2" t="s">
        <v>192</v>
      </c>
    </row>
    <row r="3" spans="1:1">
      <c r="A3" t="s">
        <v>193</v>
      </c>
    </row>
    <row r="4" spans="1:1">
      <c r="A4" t="s">
        <v>194</v>
      </c>
    </row>
    <row r="5" spans="1:1">
      <c r="A5" t="s">
        <v>195</v>
      </c>
    </row>
    <row r="7" spans="1:1">
      <c r="A7" t="s">
        <v>196</v>
      </c>
    </row>
    <row r="8" spans="1:1">
      <c r="A8" t="s">
        <v>197</v>
      </c>
    </row>
    <row r="9" spans="1:1">
      <c r="A9" t="s">
        <v>198</v>
      </c>
    </row>
    <row r="10" spans="1:1">
      <c r="A10" t="s">
        <v>199</v>
      </c>
    </row>
    <row r="11" spans="1:1">
      <c r="A11" t="s">
        <v>200</v>
      </c>
    </row>
    <row r="12" spans="1:1">
      <c r="A12" t="s">
        <v>201</v>
      </c>
    </row>
    <row r="13" spans="1:1">
      <c r="A13" t="s">
        <v>202</v>
      </c>
    </row>
    <row r="14" spans="1:1">
      <c r="A14" t="s">
        <v>203</v>
      </c>
    </row>
    <row r="15" spans="1:1">
      <c r="A15" t="s">
        <v>204</v>
      </c>
    </row>
    <row r="16" spans="1:1">
      <c r="A16" t="s">
        <v>205</v>
      </c>
    </row>
    <row r="17" spans="1:1">
      <c r="A17" t="s">
        <v>206</v>
      </c>
    </row>
    <row r="18" spans="1:1">
      <c r="A18" t="s">
        <v>207</v>
      </c>
    </row>
    <row r="19" spans="1:1">
      <c r="A19" t="s">
        <v>208</v>
      </c>
    </row>
    <row r="20" spans="1:1">
      <c r="A20" t="s">
        <v>209</v>
      </c>
    </row>
    <row r="21" spans="1:1">
      <c r="A21" t="s">
        <v>210</v>
      </c>
    </row>
    <row r="22" spans="1:1">
      <c r="A22" t="s">
        <v>211</v>
      </c>
    </row>
    <row r="23" spans="1:1">
      <c r="A23" t="s">
        <v>212</v>
      </c>
    </row>
    <row r="24" spans="1:1">
      <c r="A24" t="s">
        <v>213</v>
      </c>
    </row>
    <row r="25" spans="1:1">
      <c r="A25" t="s">
        <v>214</v>
      </c>
    </row>
    <row r="26" spans="1:1">
      <c r="A26" t="s">
        <v>215</v>
      </c>
    </row>
    <row r="27" spans="1:1">
      <c r="A27" t="s">
        <v>216</v>
      </c>
    </row>
    <row r="28" spans="1:1">
      <c r="A28" t="s">
        <v>217</v>
      </c>
    </row>
    <row r="29" spans="1:1">
      <c r="A29" t="s">
        <v>218</v>
      </c>
    </row>
    <row r="30" spans="1:1">
      <c r="A30" t="s">
        <v>219</v>
      </c>
    </row>
    <row r="31" spans="1:1">
      <c r="A31" t="s">
        <v>218</v>
      </c>
    </row>
    <row r="32" spans="1:1">
      <c r="A32" t="s">
        <v>220</v>
      </c>
    </row>
    <row r="33" spans="1:1">
      <c r="A33" t="s">
        <v>221</v>
      </c>
    </row>
    <row r="34" spans="1:1">
      <c r="A34" t="s">
        <v>222</v>
      </c>
    </row>
    <row r="35" spans="1:1">
      <c r="A35" t="s">
        <v>223</v>
      </c>
    </row>
    <row r="36" spans="1:1">
      <c r="A36" t="s">
        <v>224</v>
      </c>
    </row>
    <row r="37" spans="1:1">
      <c r="A37" t="s">
        <v>225</v>
      </c>
    </row>
    <row r="38" spans="1:1">
      <c r="A38" t="s">
        <v>226</v>
      </c>
    </row>
    <row r="39" spans="1:1">
      <c r="A39" t="s">
        <v>227</v>
      </c>
    </row>
    <row r="40" spans="1:1">
      <c r="A40" t="s">
        <v>228</v>
      </c>
    </row>
    <row r="41" spans="1:1">
      <c r="A41" t="s">
        <v>229</v>
      </c>
    </row>
    <row r="42" spans="1:1">
      <c r="A42" t="s">
        <v>230</v>
      </c>
    </row>
    <row r="43" spans="1:1">
      <c r="A43" t="s">
        <v>231</v>
      </c>
    </row>
    <row r="44" spans="1:1">
      <c r="A44" t="s">
        <v>232</v>
      </c>
    </row>
    <row r="46" spans="1:1">
      <c r="A46" t="s">
        <v>233</v>
      </c>
    </row>
    <row r="47" spans="1:1">
      <c r="A47" t="s">
        <v>234</v>
      </c>
    </row>
    <row r="48" spans="1:1">
      <c r="A48" t="s">
        <v>235</v>
      </c>
    </row>
    <row r="49" spans="1:1">
      <c r="A49" t="s">
        <v>236</v>
      </c>
    </row>
    <row r="50" spans="1:1">
      <c r="A50" t="s">
        <v>237</v>
      </c>
    </row>
    <row r="51" spans="1:1">
      <c r="A51" t="s">
        <v>238</v>
      </c>
    </row>
    <row r="52" spans="1:1">
      <c r="A52" t="s">
        <v>239</v>
      </c>
    </row>
    <row r="53" spans="1:1">
      <c r="A53" t="s">
        <v>240</v>
      </c>
    </row>
    <row r="55" spans="1:1">
      <c r="A55" t="s">
        <v>241</v>
      </c>
    </row>
    <row r="56" spans="1:1">
      <c r="A56" t="s">
        <v>242</v>
      </c>
    </row>
    <row r="57" spans="1:1">
      <c r="A57" t="s">
        <v>243</v>
      </c>
    </row>
    <row r="59" spans="1:1">
      <c r="A59" t="s">
        <v>244</v>
      </c>
    </row>
    <row r="60" spans="1:1">
      <c r="A60" t="s">
        <v>245</v>
      </c>
    </row>
  </sheetData>
  <pageMargins left="0.7" right="0.7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13"/>
  <sheetViews>
    <sheetView workbookViewId="0">
      <selection activeCell="K15" sqref="K15"/>
    </sheetView>
  </sheetViews>
  <sheetFormatPr defaultColWidth="9" defaultRowHeight="16.8"/>
  <cols>
    <col min="1" max="1" width="20.3482142857143" customWidth="1"/>
    <col min="4" max="4" width="20.1160714285714" customWidth="1"/>
    <col min="5" max="5" width="14.6517857142857" customWidth="1"/>
    <col min="8" max="8" width="14.2321428571429" customWidth="1"/>
  </cols>
  <sheetData>
    <row r="1" spans="1:16">
      <c r="A1" t="s">
        <v>246</v>
      </c>
      <c r="B1" t="s">
        <v>247</v>
      </c>
      <c r="D1" t="s">
        <v>248</v>
      </c>
      <c r="E1" s="1" t="s">
        <v>249</v>
      </c>
      <c r="F1" t="s">
        <v>250</v>
      </c>
      <c r="H1" t="s">
        <v>251</v>
      </c>
      <c r="I1" t="s">
        <v>252</v>
      </c>
      <c r="K1" t="s">
        <v>6</v>
      </c>
      <c r="L1" t="s">
        <v>253</v>
      </c>
      <c r="M1" t="s">
        <v>254</v>
      </c>
      <c r="N1" t="str">
        <f>贷款基础利率!B2</f>
        <v>贷款市场报价利率(LPR):月</v>
      </c>
      <c r="O1" t="str">
        <f>贷款基础利率!C2</f>
        <v>1年</v>
      </c>
    </row>
    <row r="2" ht="17.6" spans="1:16">
      <c r="A2" s="2" t="s">
        <v>26</v>
      </c>
      <c r="B2">
        <v>1</v>
      </c>
      <c r="D2" t="s">
        <v>255</v>
      </c>
      <c r="E2" s="3">
        <v>0.0018</v>
      </c>
      <c r="F2">
        <v>1</v>
      </c>
      <c r="H2" t="s">
        <v>256</v>
      </c>
      <c r="I2" s="4">
        <v>0.0435</v>
      </c>
      <c r="J2">
        <v>0</v>
      </c>
      <c r="K2" t="s">
        <v>82</v>
      </c>
      <c r="L2">
        <v>1</v>
      </c>
      <c r="N2" t="str">
        <f>贷款基础利率!B3</f>
        <v>2026-02-24</v>
      </c>
      <c r="O2" t="str">
        <f>贷款基础利率!C3</f>
        <v>3.00</v>
      </c>
      <c r="P2">
        <v>1</v>
      </c>
    </row>
    <row r="3" ht="17.6" spans="1:16">
      <c r="A3" s="2" t="s">
        <v>257</v>
      </c>
      <c r="B3">
        <v>3</v>
      </c>
      <c r="D3" t="s">
        <v>258</v>
      </c>
      <c r="E3" s="3">
        <v>0.003</v>
      </c>
      <c r="F3">
        <v>3</v>
      </c>
      <c r="H3" t="s">
        <v>259</v>
      </c>
      <c r="I3" s="4">
        <v>0.0435</v>
      </c>
      <c r="J3">
        <v>0.5</v>
      </c>
      <c r="K3" t="s">
        <v>7</v>
      </c>
      <c r="L3">
        <v>5</v>
      </c>
      <c r="N3" t="str">
        <f>贷款基础利率!B4</f>
        <v>2026-01-20</v>
      </c>
      <c r="O3" t="str">
        <f>贷款基础利率!C4</f>
        <v>3.00</v>
      </c>
      <c r="P3">
        <v>2</v>
      </c>
    </row>
    <row r="4" ht="17.6" spans="1:16">
      <c r="A4" s="2" t="s">
        <v>83</v>
      </c>
      <c r="B4">
        <v>6</v>
      </c>
      <c r="D4" t="s">
        <v>260</v>
      </c>
      <c r="E4">
        <v>0</v>
      </c>
      <c r="F4">
        <v>0</v>
      </c>
      <c r="H4" t="s">
        <v>261</v>
      </c>
      <c r="I4" s="4">
        <v>0.0475</v>
      </c>
      <c r="J4">
        <v>1</v>
      </c>
      <c r="N4" t="str">
        <f>贷款基础利率!B5</f>
        <v>2025-12-22</v>
      </c>
      <c r="O4" t="str">
        <f>贷款基础利率!C5</f>
        <v>3.00</v>
      </c>
      <c r="P4">
        <v>3</v>
      </c>
    </row>
    <row r="5" ht="17.6" spans="1:16">
      <c r="A5" s="2" t="s">
        <v>262</v>
      </c>
      <c r="B5">
        <v>12</v>
      </c>
      <c r="D5" t="s">
        <v>254</v>
      </c>
      <c r="E5" s="5">
        <v>0.0018</v>
      </c>
      <c r="F5">
        <v>1</v>
      </c>
      <c r="H5" t="s">
        <v>263</v>
      </c>
      <c r="I5" s="4">
        <v>0.0475</v>
      </c>
      <c r="J5">
        <v>3</v>
      </c>
      <c r="N5" t="str">
        <f>贷款基础利率!B6</f>
        <v>2025-11-20</v>
      </c>
      <c r="O5" t="str">
        <f>贷款基础利率!C6</f>
        <v>3.00</v>
      </c>
      <c r="P5">
        <v>6</v>
      </c>
    </row>
    <row r="6" ht="17.6" spans="1:16">
      <c r="A6" s="2" t="s">
        <v>264</v>
      </c>
      <c r="B6" t="s">
        <v>265</v>
      </c>
      <c r="D6" t="s">
        <v>31</v>
      </c>
      <c r="E6" s="4">
        <v>0.0018</v>
      </c>
      <c r="H6" t="s">
        <v>266</v>
      </c>
      <c r="I6" s="4">
        <v>0.049</v>
      </c>
      <c r="J6">
        <v>5.01</v>
      </c>
      <c r="N6" t="str">
        <f>贷款基础利率!B7</f>
        <v>2025-10-20</v>
      </c>
      <c r="O6" t="str">
        <f>贷款基础利率!C7</f>
        <v>3.00</v>
      </c>
      <c r="P6">
        <v>12</v>
      </c>
    </row>
    <row r="7" spans="1:16">
      <c r="A7" t="s">
        <v>267</v>
      </c>
      <c r="I7" s="4">
        <v>0.049</v>
      </c>
      <c r="J7">
        <v>10</v>
      </c>
      <c r="N7" t="str">
        <f>贷款基础利率!B8</f>
        <v>2025-09-22</v>
      </c>
      <c r="O7" t="str">
        <f>贷款基础利率!C8</f>
        <v>3.00</v>
      </c>
    </row>
    <row r="8" spans="1:16">
      <c r="A8" t="s">
        <v>268</v>
      </c>
      <c r="N8" t="str">
        <f>贷款基础利率!B9</f>
        <v>2025-08-20</v>
      </c>
      <c r="O8" t="str">
        <f>贷款基础利率!C9</f>
        <v>3.00</v>
      </c>
    </row>
    <row r="9" ht="17.6" spans="1:16">
      <c r="A9" s="2" t="s">
        <v>269</v>
      </c>
      <c r="N9" t="str">
        <f>贷款基础利率!B10</f>
        <v>2025-07-21</v>
      </c>
      <c r="O9" t="str">
        <f>贷款基础利率!C10</f>
        <v>3.00</v>
      </c>
    </row>
    <row r="10" spans="1:16">
      <c r="N10" t="str">
        <f>贷款基础利率!B11</f>
        <v>2025-06-20</v>
      </c>
      <c r="O10" t="str">
        <f>贷款基础利率!C11</f>
        <v>3.00</v>
      </c>
    </row>
    <row r="11" spans="1:16">
      <c r="N11" t="str">
        <f>贷款基础利率!B12</f>
        <v>2025-05-20</v>
      </c>
      <c r="O11" t="str">
        <f>贷款基础利率!C12</f>
        <v>3.00</v>
      </c>
    </row>
    <row r="12" spans="1:16">
      <c r="N12" t="str">
        <f>贷款基础利率!B13</f>
        <v>2025-04-21</v>
      </c>
      <c r="O12" t="str">
        <f>贷款基础利率!C13</f>
        <v>3.10</v>
      </c>
    </row>
    <row r="13" spans="1:16">
      <c r="N13" t="str">
        <f>贷款基础利率!B14</f>
        <v>2025-03-20</v>
      </c>
      <c r="O13" t="str">
        <f>贷款基础利率!C14</f>
        <v>3.10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原合同</vt:lpstr>
      <vt:lpstr>1租金测算表V1</vt:lpstr>
      <vt:lpstr>银行承兑汇票</vt:lpstr>
      <vt:lpstr>银承现金流表</vt:lpstr>
      <vt:lpstr>贷款基础利率</vt:lpstr>
      <vt:lpstr>更新说明</vt:lpstr>
      <vt:lpstr>还款设置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徐晓冬</dc:creator>
  <cp:lastModifiedBy>徐晓冬</cp:lastModifiedBy>
  <dcterms:created xsi:type="dcterms:W3CDTF">2018-06-18T22:25:00Z</dcterms:created>
  <cp:lastPrinted>2018-06-19T17:06:00Z</cp:lastPrinted>
  <dcterms:modified xsi:type="dcterms:W3CDTF">2026-05-05T23:05:33Z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2052-12.1.25869.25869</vt:lpwstr>
  </property>
  <property fmtid="{D5CDD505-2E9C-101B-9397-08002B2CF9AE}" pid="3" name="ICV">
    <vt:lpwstr>CC2778A84A03F38DE0377A6932EDEA20_43</vt:lpwstr>
  </property>
  <property fmtid="{D5CDD505-2E9C-101B-9397-08002B2CF9AE}" pid="4" name="CalculationRule">
    <vt:i4>0</vt:i4>
  </property>
  <property fmtid="{D5CDD505-2E9C-101B-9397-08002B2CF9AE}" pid="5" name="KSOReadingLayout">
    <vt:bool>true</vt:bool>
  </property>
</Properties>
</file>